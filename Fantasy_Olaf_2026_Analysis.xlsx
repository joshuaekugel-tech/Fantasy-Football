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joshkugel/Desktop/Fantasy Football/Olaf League/2026 Season/CommishSmilesAnalytics/"/>
    </mc:Choice>
  </mc:AlternateContent>
  <xr:revisionPtr revIDLastSave="0" documentId="13_ncr:1_{6B47A6D6-9B5B-FD46-A909-D3FBC5C876B9}" xr6:coauthVersionLast="47" xr6:coauthVersionMax="47" xr10:uidLastSave="{00000000-0000-0000-0000-000000000000}"/>
  <bookViews>
    <workbookView xWindow="0" yWindow="760" windowWidth="30240" windowHeight="17740" activeTab="2" xr2:uid="{D85AD839-D84B-CA48-9B5E-4D3330990D5C}"/>
  </bookViews>
  <sheets>
    <sheet name="Raw Data" sheetId="1" r:id="rId1"/>
    <sheet name="Team Data" sheetId="7" r:id="rId2"/>
    <sheet name="Team Summaries" sheetId="8" r:id="rId3"/>
    <sheet name="Summary" sheetId="15" r:id="rId4"/>
    <sheet name="Weekly Ideal Results" sheetId="10" r:id="rId5"/>
    <sheet name="Weekly Actual Results" sheetId="14" r:id="rId6"/>
    <sheet name="Draft Recap" sheetId="13" r:id="rId7"/>
  </sheets>
  <definedNames>
    <definedName name="_xlnm._FilterDatabase" localSheetId="6" hidden="1">'Draft Recap'!$A$1:$O$211</definedName>
    <definedName name="_xlnm._FilterDatabase" localSheetId="0" hidden="1">'Raw Data'!$A$1:$K$3790</definedName>
    <definedName name="_xlnm._FilterDatabase" localSheetId="1" hidden="1">'Team Data'!$A$1:$K$1293</definedName>
    <definedName name="_xlnm._FilterDatabase" localSheetId="2" hidden="1">'Team Summaries'!$A$1:$H$1</definedName>
    <definedName name="Actual_Points">OFFSET('Team Data'!$F$2,0,0,COUNTA('Team Data'!$F$2:$F$100032),1)</definedName>
    <definedName name="FPTS">OFFSET('Raw Data'!$K$2,0,0,COUNTA('Raw Data'!$A$2:$A$100001),1)</definedName>
    <definedName name="Ideal_Points">OFFSET('Team Data'!$E$2,0,0,COUNTA('Team Data'!$E$2:$E$100032),1)</definedName>
    <definedName name="Missed_Points">OFFSET('Team Data'!$G$2,0,0,COUNTA('Team Data'!$G$2:$G$100032),1)</definedName>
    <definedName name="ND_Starter_Points">OFFSET('Team Data'!$K$2,0,0,COUNTA('Team Data'!$K$2:$K$100032),1)</definedName>
    <definedName name="Non_Drafted_Player">OFFSET('Team Data'!$H$2,0,0,COUNTA('Team Data'!$H$2:$H$100032),1)</definedName>
    <definedName name="Player">OFFSET('Raw Data'!$G$2,0,0,COUNTA('Raw Data'!$A$2:$A$100001),1)</definedName>
    <definedName name="Pos">OFFSET('Raw Data'!$D$2,0,0,COUNTA('Raw Data'!$A$2:$A$100001),1)</definedName>
    <definedName name="Raw">OFFSET('Raw Data'!$A$2,0,0,COUNTA('Raw Data'!$A$2:$A$100001),11)</definedName>
    <definedName name="SLOT">OFFSET('Raw Data'!$F$2,0,0,COUNTA('Raw Data'!$A$2:$A$100001),1)</definedName>
    <definedName name="Team">OFFSET('Raw Data'!$B$2,0,0,COUNTA('Raw Data'!$A$2:$A$100001),1)</definedName>
    <definedName name="Team_Total">OFFSET('Team Data'!$A$2,0,0,COUNTA('Team Data'!$A$2:$A$100032),1)</definedName>
    <definedName name="Week">OFFSET('Raw Data'!$A$2,0,0,COUNTA('Raw Data'!$A$2:$A$100001),1)</definedName>
    <definedName name="Week_Total">OFFSET('Team Data'!$B$2,0,0,COUNTA('Team Data'!$B$2:$B$100032),1)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5" l="1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2" i="15"/>
  <c r="R5" i="10"/>
  <c r="R6" i="10" s="1"/>
  <c r="R7" i="10" s="1"/>
  <c r="R8" i="10" s="1"/>
  <c r="R9" i="10" s="1"/>
  <c r="H2" i="10" l="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O3" i="13" l="1"/>
  <c r="O4" i="13"/>
  <c r="O5" i="13"/>
  <c r="O6" i="13"/>
  <c r="O7" i="13"/>
  <c r="O8" i="13"/>
  <c r="O9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O24" i="13"/>
  <c r="O25" i="13"/>
  <c r="O26" i="13"/>
  <c r="O27" i="13"/>
  <c r="O28" i="13"/>
  <c r="O29" i="13"/>
  <c r="O30" i="13"/>
  <c r="O31" i="13"/>
  <c r="O32" i="13"/>
  <c r="O33" i="13"/>
  <c r="O34" i="13"/>
  <c r="O35" i="13"/>
  <c r="O36" i="13"/>
  <c r="O37" i="13"/>
  <c r="O38" i="13"/>
  <c r="O39" i="13"/>
  <c r="O40" i="13"/>
  <c r="O41" i="13"/>
  <c r="O42" i="13"/>
  <c r="O43" i="13"/>
  <c r="O44" i="13"/>
  <c r="O45" i="13"/>
  <c r="O46" i="13"/>
  <c r="O47" i="13"/>
  <c r="O48" i="13"/>
  <c r="O49" i="13"/>
  <c r="O50" i="13"/>
  <c r="O51" i="13"/>
  <c r="O52" i="13"/>
  <c r="O53" i="13"/>
  <c r="O54" i="13"/>
  <c r="O55" i="13"/>
  <c r="O56" i="13"/>
  <c r="O57" i="13"/>
  <c r="O58" i="13"/>
  <c r="O59" i="13"/>
  <c r="O60" i="13"/>
  <c r="O61" i="13"/>
  <c r="O62" i="13"/>
  <c r="O63" i="13"/>
  <c r="O64" i="13"/>
  <c r="O65" i="13"/>
  <c r="O66" i="13"/>
  <c r="O67" i="13"/>
  <c r="O68" i="13"/>
  <c r="O69" i="13"/>
  <c r="O70" i="13"/>
  <c r="O71" i="13"/>
  <c r="O72" i="13"/>
  <c r="O73" i="13"/>
  <c r="O74" i="13"/>
  <c r="O75" i="13"/>
  <c r="O76" i="13"/>
  <c r="O77" i="13"/>
  <c r="O78" i="13"/>
  <c r="O79" i="13"/>
  <c r="O80" i="13"/>
  <c r="O81" i="13"/>
  <c r="O82" i="13"/>
  <c r="O83" i="13"/>
  <c r="O84" i="13"/>
  <c r="O85" i="13"/>
  <c r="O86" i="13"/>
  <c r="O87" i="13"/>
  <c r="O88" i="13"/>
  <c r="O89" i="13"/>
  <c r="O90" i="13"/>
  <c r="O91" i="13"/>
  <c r="O92" i="13"/>
  <c r="O93" i="13"/>
  <c r="O94" i="13"/>
  <c r="O95" i="13"/>
  <c r="O96" i="13"/>
  <c r="O97" i="13"/>
  <c r="O98" i="13"/>
  <c r="O99" i="13"/>
  <c r="O100" i="13"/>
  <c r="O101" i="13"/>
  <c r="O102" i="13"/>
  <c r="O103" i="13"/>
  <c r="O104" i="13"/>
  <c r="O105" i="13"/>
  <c r="O106" i="13"/>
  <c r="O107" i="13"/>
  <c r="O108" i="13"/>
  <c r="O109" i="13"/>
  <c r="O110" i="13"/>
  <c r="O111" i="13"/>
  <c r="O112" i="13"/>
  <c r="O113" i="13"/>
  <c r="O114" i="13"/>
  <c r="O115" i="13"/>
  <c r="O116" i="13"/>
  <c r="O117" i="13"/>
  <c r="O118" i="13"/>
  <c r="O119" i="13"/>
  <c r="O120" i="13"/>
  <c r="O121" i="13"/>
  <c r="O122" i="13"/>
  <c r="O123" i="13"/>
  <c r="O124" i="13"/>
  <c r="O125" i="13"/>
  <c r="O126" i="13"/>
  <c r="O127" i="13"/>
  <c r="O128" i="13"/>
  <c r="O129" i="13"/>
  <c r="O130" i="13"/>
  <c r="O131" i="13"/>
  <c r="O132" i="13"/>
  <c r="O133" i="13"/>
  <c r="O134" i="13"/>
  <c r="O135" i="13"/>
  <c r="O136" i="13"/>
  <c r="O137" i="13"/>
  <c r="O138" i="13"/>
  <c r="O139" i="13"/>
  <c r="O140" i="13"/>
  <c r="O141" i="13"/>
  <c r="O142" i="13"/>
  <c r="O143" i="13"/>
  <c r="O144" i="13"/>
  <c r="O145" i="13"/>
  <c r="O146" i="13"/>
  <c r="O147" i="13"/>
  <c r="O148" i="13"/>
  <c r="O149" i="13"/>
  <c r="O150" i="13"/>
  <c r="O151" i="13"/>
  <c r="O152" i="13"/>
  <c r="O153" i="13"/>
  <c r="O154" i="13"/>
  <c r="O155" i="13"/>
  <c r="O156" i="13"/>
  <c r="O157" i="13"/>
  <c r="O158" i="13"/>
  <c r="O159" i="13"/>
  <c r="O160" i="13"/>
  <c r="O161" i="13"/>
  <c r="O162" i="13"/>
  <c r="O163" i="13"/>
  <c r="O164" i="13"/>
  <c r="O165" i="13"/>
  <c r="O166" i="13"/>
  <c r="O167" i="13"/>
  <c r="O168" i="13"/>
  <c r="O169" i="13"/>
  <c r="O170" i="13"/>
  <c r="O171" i="13"/>
  <c r="O172" i="13"/>
  <c r="O173" i="13"/>
  <c r="O174" i="13"/>
  <c r="O175" i="13"/>
  <c r="O176" i="13"/>
  <c r="O177" i="13"/>
  <c r="O178" i="13"/>
  <c r="O179" i="13"/>
  <c r="O180" i="13"/>
  <c r="O181" i="13"/>
  <c r="O182" i="13"/>
  <c r="O183" i="13"/>
  <c r="O184" i="13"/>
  <c r="O185" i="13"/>
  <c r="O186" i="13"/>
  <c r="O187" i="13"/>
  <c r="O188" i="13"/>
  <c r="O189" i="13"/>
  <c r="O190" i="13"/>
  <c r="O191" i="13"/>
  <c r="O192" i="13"/>
  <c r="O193" i="13"/>
  <c r="O194" i="13"/>
  <c r="O195" i="13"/>
  <c r="O196" i="13"/>
  <c r="O197" i="13"/>
  <c r="O2" i="13"/>
  <c r="J185" i="13"/>
  <c r="P5" i="14"/>
  <c r="P6" i="14"/>
  <c r="P4" i="14"/>
  <c r="L4" i="10"/>
  <c r="P7" i="14" l="1"/>
  <c r="P8" i="14" s="1"/>
  <c r="P9" i="14" s="1"/>
  <c r="J176" i="13"/>
  <c r="J3" i="13" l="1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J155" i="13"/>
  <c r="J156" i="13"/>
  <c r="J157" i="13"/>
  <c r="J158" i="13"/>
  <c r="J159" i="13"/>
  <c r="J160" i="13"/>
  <c r="J161" i="13"/>
  <c r="J162" i="13"/>
  <c r="J163" i="13"/>
  <c r="J164" i="13"/>
  <c r="J165" i="13"/>
  <c r="J166" i="13"/>
  <c r="J167" i="13"/>
  <c r="J168" i="13"/>
  <c r="J169" i="13"/>
  <c r="J170" i="13"/>
  <c r="J171" i="13"/>
  <c r="J172" i="13"/>
  <c r="J173" i="13"/>
  <c r="J174" i="13"/>
  <c r="J175" i="13"/>
  <c r="J177" i="13"/>
  <c r="J178" i="13"/>
  <c r="J179" i="13"/>
  <c r="J180" i="13"/>
  <c r="J181" i="13"/>
  <c r="J182" i="13"/>
  <c r="J183" i="13"/>
  <c r="J184" i="13"/>
  <c r="J186" i="13"/>
  <c r="J187" i="13"/>
  <c r="J188" i="13"/>
  <c r="J189" i="13"/>
  <c r="J190" i="13"/>
  <c r="J191" i="13"/>
  <c r="J192" i="13"/>
  <c r="J193" i="13"/>
  <c r="J194" i="13"/>
  <c r="J195" i="13"/>
  <c r="J196" i="13"/>
  <c r="J197" i="13"/>
  <c r="J2" i="13"/>
  <c r="Y3" i="13" l="1"/>
  <c r="Y4" i="13"/>
  <c r="W5" i="8" s="1"/>
  <c r="N4" i="15" s="1"/>
  <c r="Y5" i="13"/>
  <c r="Y6" i="13"/>
  <c r="W4" i="8" s="1"/>
  <c r="N3" i="15" s="1"/>
  <c r="Y7" i="13"/>
  <c r="W10" i="8" s="1"/>
  <c r="N9" i="15" s="1"/>
  <c r="Y8" i="13"/>
  <c r="W11" i="8" s="1"/>
  <c r="N10" i="15" s="1"/>
  <c r="Y9" i="13"/>
  <c r="Y10" i="13"/>
  <c r="Y11" i="13"/>
  <c r="Y12" i="13"/>
  <c r="Y13" i="13"/>
  <c r="W12" i="8" s="1"/>
  <c r="N11" i="15" s="1"/>
  <c r="Y14" i="13"/>
  <c r="W13" i="8" s="1"/>
  <c r="N12" i="15" s="1"/>
  <c r="Y15" i="13"/>
  <c r="W6" i="8" s="1"/>
  <c r="N5" i="15" s="1"/>
  <c r="Y2" i="13"/>
  <c r="W14" i="8" s="1"/>
  <c r="N13" i="15" s="1"/>
  <c r="V3" i="13"/>
  <c r="V4" i="13"/>
  <c r="T5" i="8" s="1"/>
  <c r="K4" i="15" s="1"/>
  <c r="V5" i="13"/>
  <c r="V6" i="13"/>
  <c r="V7" i="13"/>
  <c r="V8" i="13"/>
  <c r="V9" i="13"/>
  <c r="T16" i="8" s="1"/>
  <c r="K15" i="15" s="1"/>
  <c r="V10" i="13"/>
  <c r="V11" i="13"/>
  <c r="V12" i="13"/>
  <c r="V13" i="13"/>
  <c r="V14" i="13"/>
  <c r="V15" i="13"/>
  <c r="T6" i="8" s="1"/>
  <c r="K5" i="15" s="1"/>
  <c r="V2" i="13"/>
  <c r="T14" i="8" s="1"/>
  <c r="K13" i="15" s="1"/>
  <c r="T3" i="13"/>
  <c r="T4" i="13"/>
  <c r="Q5" i="8" s="1"/>
  <c r="H4" i="15" s="1"/>
  <c r="T5" i="13"/>
  <c r="T6" i="13"/>
  <c r="T7" i="13"/>
  <c r="T8" i="13"/>
  <c r="T9" i="13"/>
  <c r="Q16" i="8" s="1"/>
  <c r="H15" i="15" s="1"/>
  <c r="T10" i="13"/>
  <c r="T11" i="13"/>
  <c r="T12" i="13"/>
  <c r="T13" i="13"/>
  <c r="Q12" i="8" s="1"/>
  <c r="H11" i="15" s="1"/>
  <c r="T14" i="13"/>
  <c r="T15" i="13"/>
  <c r="T2" i="13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C2" i="14"/>
  <c r="B2" i="14"/>
  <c r="A2" i="14"/>
  <c r="A10" i="10"/>
  <c r="A11" i="10"/>
  <c r="A12" i="10"/>
  <c r="A19" i="10" s="1"/>
  <c r="A13" i="10"/>
  <c r="A20" i="10" s="1"/>
  <c r="A14" i="10"/>
  <c r="A15" i="10"/>
  <c r="A16" i="10"/>
  <c r="A17" i="10"/>
  <c r="A18" i="10"/>
  <c r="A21" i="10"/>
  <c r="A22" i="10"/>
  <c r="A9" i="10"/>
  <c r="L3" i="14"/>
  <c r="L4" i="14"/>
  <c r="L5" i="14"/>
  <c r="L6" i="14"/>
  <c r="L7" i="14"/>
  <c r="L8" i="14"/>
  <c r="L9" i="14"/>
  <c r="L10" i="14"/>
  <c r="L11" i="14"/>
  <c r="L12" i="14"/>
  <c r="L13" i="14"/>
  <c r="L14" i="14"/>
  <c r="L15" i="14"/>
  <c r="L2" i="14"/>
  <c r="Q4" i="8" l="1"/>
  <c r="H3" i="15" s="1"/>
  <c r="Q7" i="8"/>
  <c r="H6" i="15" s="1"/>
  <c r="W16" i="8"/>
  <c r="N15" i="15" s="1"/>
  <c r="W7" i="8"/>
  <c r="N6" i="15" s="1"/>
  <c r="T10" i="8"/>
  <c r="K9" i="15" s="1"/>
  <c r="Q14" i="8"/>
  <c r="H13" i="15" s="1"/>
  <c r="Q11" i="8"/>
  <c r="H10" i="15" s="1"/>
  <c r="T11" i="8"/>
  <c r="K10" i="15" s="1"/>
  <c r="Q6" i="8"/>
  <c r="H5" i="15" s="1"/>
  <c r="Q10" i="8"/>
  <c r="H9" i="15" s="1"/>
  <c r="T12" i="8"/>
  <c r="K11" i="15" s="1"/>
  <c r="T7" i="8"/>
  <c r="K6" i="15" s="1"/>
  <c r="Q13" i="8"/>
  <c r="H12" i="15" s="1"/>
  <c r="W8" i="8"/>
  <c r="N7" i="15" s="1"/>
  <c r="Q15" i="8"/>
  <c r="H14" i="15" s="1"/>
  <c r="T9" i="8"/>
  <c r="K8" i="15" s="1"/>
  <c r="W15" i="8"/>
  <c r="N14" i="15" s="1"/>
  <c r="T8" i="8"/>
  <c r="K7" i="15" s="1"/>
  <c r="T3" i="8"/>
  <c r="K2" i="15" s="1"/>
  <c r="Q9" i="8"/>
  <c r="H8" i="15" s="1"/>
  <c r="T15" i="8"/>
  <c r="K14" i="15" s="1"/>
  <c r="Q8" i="8"/>
  <c r="H7" i="15" s="1"/>
  <c r="Q3" i="8"/>
  <c r="H2" i="15" s="1"/>
  <c r="T13" i="8"/>
  <c r="K12" i="15" s="1"/>
  <c r="T4" i="8"/>
  <c r="K3" i="15" s="1"/>
  <c r="W9" i="8"/>
  <c r="N8" i="15" s="1"/>
  <c r="W3" i="8"/>
  <c r="N2" i="15" s="1"/>
  <c r="D22" i="8" l="1" a="1"/>
  <c r="D22" i="8" s="1"/>
  <c r="D30" i="8" a="1"/>
  <c r="D30" i="8" s="1"/>
  <c r="D38" i="8" a="1"/>
  <c r="D38" i="8" s="1"/>
  <c r="D21" i="8" a="1"/>
  <c r="D21" i="8" s="1"/>
  <c r="D29" i="8" a="1"/>
  <c r="D29" i="8" s="1"/>
  <c r="D37" i="8" a="1"/>
  <c r="D37" i="8" s="1"/>
  <c r="D16" i="8" a="1"/>
  <c r="D16" i="8" s="1"/>
  <c r="D24" i="8" a="1"/>
  <c r="D24" i="8" s="1"/>
  <c r="D32" i="8" a="1"/>
  <c r="D32" i="8" s="1"/>
  <c r="D40" i="8" a="1"/>
  <c r="D40" i="8" s="1"/>
  <c r="D23" i="8" a="1"/>
  <c r="D23" i="8" s="1"/>
  <c r="D31" i="8" a="1"/>
  <c r="D31" i="8" s="1"/>
  <c r="D39" i="8" a="1"/>
  <c r="D39" i="8" s="1"/>
  <c r="D18" i="8" a="1"/>
  <c r="D18" i="8" s="1"/>
  <c r="D26" i="8" a="1"/>
  <c r="D26" i="8" s="1"/>
  <c r="D34" i="8" a="1"/>
  <c r="D34" i="8" s="1"/>
  <c r="D42" i="8" a="1"/>
  <c r="D42" i="8" s="1"/>
  <c r="D17" i="8" a="1"/>
  <c r="D17" i="8" s="1"/>
  <c r="D25" i="8" a="1"/>
  <c r="D25" i="8" s="1"/>
  <c r="D33" i="8" a="1"/>
  <c r="D33" i="8" s="1"/>
  <c r="D41" i="8" a="1"/>
  <c r="D41" i="8" s="1"/>
  <c r="D20" i="8" a="1"/>
  <c r="D20" i="8" s="1"/>
  <c r="D28" i="8" a="1"/>
  <c r="D28" i="8" s="1"/>
  <c r="D36" i="8" a="1"/>
  <c r="D36" i="8" s="1"/>
  <c r="D19" i="8" a="1"/>
  <c r="D19" i="8" s="1"/>
  <c r="D27" i="8" a="1"/>
  <c r="D27" i="8" s="1"/>
  <c r="D35" i="8" a="1"/>
  <c r="D35" i="8" s="1"/>
  <c r="D43" i="8" a="1"/>
  <c r="D43" i="8" s="1"/>
  <c r="U15" i="13" l="1"/>
  <c r="U5" i="13"/>
  <c r="S6" i="8" l="1"/>
  <c r="J5" i="15" s="1"/>
  <c r="U3" i="13"/>
  <c r="U7" i="13"/>
  <c r="S10" i="8" s="1"/>
  <c r="J9" i="15" s="1"/>
  <c r="U2" i="13"/>
  <c r="S14" i="8" s="1"/>
  <c r="J13" i="15" s="1"/>
  <c r="U9" i="13"/>
  <c r="S16" i="8" s="1"/>
  <c r="J15" i="15" s="1"/>
  <c r="U14" i="13"/>
  <c r="S13" i="8" s="1"/>
  <c r="J12" i="15" s="1"/>
  <c r="U10" i="13"/>
  <c r="U8" i="13"/>
  <c r="U4" i="13"/>
  <c r="S5" i="8" s="1"/>
  <c r="J4" i="15" s="1"/>
  <c r="U11" i="13"/>
  <c r="U13" i="13"/>
  <c r="S12" i="8" s="1"/>
  <c r="J11" i="15" s="1"/>
  <c r="U12" i="13"/>
  <c r="U6" i="13"/>
  <c r="S7" i="8" s="1"/>
  <c r="J6" i="15" s="1"/>
  <c r="S15" i="8" l="1"/>
  <c r="J14" i="15" s="1"/>
  <c r="S11" i="8"/>
  <c r="J10" i="15" s="1"/>
  <c r="S8" i="8"/>
  <c r="J7" i="15" s="1"/>
  <c r="S3" i="8"/>
  <c r="J2" i="15" s="1"/>
  <c r="S4" i="8"/>
  <c r="J3" i="15" s="1"/>
  <c r="S9" i="8"/>
  <c r="J8" i="15" s="1"/>
  <c r="L194" i="13"/>
  <c r="M194" i="13" s="1"/>
  <c r="L195" i="13"/>
  <c r="M195" i="13" s="1"/>
  <c r="L196" i="13"/>
  <c r="M196" i="13" s="1"/>
  <c r="L197" i="13"/>
  <c r="M197" i="13" s="1"/>
  <c r="L3" i="13" l="1"/>
  <c r="L4" i="13"/>
  <c r="L5" i="13"/>
  <c r="L6" i="13"/>
  <c r="L7" i="13"/>
  <c r="L8" i="13"/>
  <c r="L9" i="13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2" i="13"/>
  <c r="W2" i="13" l="1"/>
  <c r="W11" i="13"/>
  <c r="W3" i="13"/>
  <c r="W10" i="13"/>
  <c r="W9" i="13"/>
  <c r="U16" i="8" s="1"/>
  <c r="L15" i="15" s="1"/>
  <c r="W8" i="13"/>
  <c r="U11" i="8" s="1"/>
  <c r="L10" i="15" s="1"/>
  <c r="W4" i="13"/>
  <c r="U5" i="8" s="1"/>
  <c r="L4" i="15" s="1"/>
  <c r="W15" i="13"/>
  <c r="U6" i="8" s="1"/>
  <c r="L5" i="15" s="1"/>
  <c r="W7" i="13"/>
  <c r="U10" i="8" s="1"/>
  <c r="L9" i="15" s="1"/>
  <c r="W12" i="13"/>
  <c r="W14" i="13"/>
  <c r="W6" i="13"/>
  <c r="W13" i="13"/>
  <c r="U12" i="8" s="1"/>
  <c r="L11" i="15" s="1"/>
  <c r="W5" i="13"/>
  <c r="U7" i="8" s="1"/>
  <c r="L6" i="15" s="1"/>
  <c r="U9" i="8" l="1"/>
  <c r="L8" i="15" s="1"/>
  <c r="U14" i="8"/>
  <c r="L13" i="15" s="1"/>
  <c r="U15" i="8"/>
  <c r="L14" i="15" s="1"/>
  <c r="U4" i="8"/>
  <c r="L3" i="15" s="1"/>
  <c r="U13" i="8"/>
  <c r="L12" i="15" s="1"/>
  <c r="U3" i="8"/>
  <c r="L2" i="15" s="1"/>
  <c r="U8" i="8"/>
  <c r="L7" i="15" s="1"/>
  <c r="Z2" i="13"/>
  <c r="X14" i="8" s="1"/>
  <c r="O13" i="15" s="1"/>
  <c r="Z9" i="13"/>
  <c r="X16" i="8" s="1"/>
  <c r="O15" i="15" s="1"/>
  <c r="Z8" i="13"/>
  <c r="Z15" i="13"/>
  <c r="Z7" i="13"/>
  <c r="X10" i="8" s="1"/>
  <c r="O9" i="15" s="1"/>
  <c r="Z10" i="13"/>
  <c r="Z14" i="13"/>
  <c r="Z6" i="13"/>
  <c r="Z13" i="13"/>
  <c r="X12" i="8" s="1"/>
  <c r="O11" i="15" s="1"/>
  <c r="Z5" i="13"/>
  <c r="Z12" i="13"/>
  <c r="X9" i="8" s="1"/>
  <c r="O8" i="15" s="1"/>
  <c r="Z4" i="13"/>
  <c r="X5" i="8" s="1"/>
  <c r="O4" i="15" s="1"/>
  <c r="Z11" i="13"/>
  <c r="X8" i="8" s="1"/>
  <c r="O7" i="15" s="1"/>
  <c r="Z3" i="13"/>
  <c r="M5" i="13"/>
  <c r="M6" i="13"/>
  <c r="M8" i="13"/>
  <c r="M9" i="13"/>
  <c r="M10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43" i="13"/>
  <c r="M44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96" i="13"/>
  <c r="M9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116" i="13"/>
  <c r="M117" i="13"/>
  <c r="M118" i="13"/>
  <c r="M119" i="13"/>
  <c r="M120" i="13"/>
  <c r="M121" i="13"/>
  <c r="M122" i="13"/>
  <c r="M123" i="13"/>
  <c r="M124" i="13"/>
  <c r="M125" i="13"/>
  <c r="M126" i="13"/>
  <c r="M127" i="13"/>
  <c r="M128" i="13"/>
  <c r="M129" i="13"/>
  <c r="M130" i="13"/>
  <c r="M131" i="13"/>
  <c r="M132" i="13"/>
  <c r="M133" i="13"/>
  <c r="M134" i="13"/>
  <c r="M135" i="13"/>
  <c r="M136" i="13"/>
  <c r="M137" i="13"/>
  <c r="M138" i="13"/>
  <c r="M139" i="13"/>
  <c r="M140" i="13"/>
  <c r="M141" i="13"/>
  <c r="M142" i="13"/>
  <c r="M143" i="13"/>
  <c r="M144" i="13"/>
  <c r="M145" i="13"/>
  <c r="M146" i="13"/>
  <c r="M147" i="13"/>
  <c r="M148" i="13"/>
  <c r="M149" i="13"/>
  <c r="M150" i="13"/>
  <c r="M151" i="13"/>
  <c r="M152" i="13"/>
  <c r="M153" i="13"/>
  <c r="M154" i="13"/>
  <c r="M155" i="13"/>
  <c r="M156" i="13"/>
  <c r="M157" i="13"/>
  <c r="M158" i="13"/>
  <c r="M159" i="13"/>
  <c r="M160" i="13"/>
  <c r="M161" i="13"/>
  <c r="M162" i="13"/>
  <c r="M163" i="13"/>
  <c r="M164" i="13"/>
  <c r="M165" i="13"/>
  <c r="M166" i="13"/>
  <c r="M167" i="13"/>
  <c r="M168" i="13"/>
  <c r="M169" i="13"/>
  <c r="M170" i="13"/>
  <c r="M171" i="13"/>
  <c r="M172" i="13"/>
  <c r="M173" i="13"/>
  <c r="M174" i="13"/>
  <c r="M175" i="13"/>
  <c r="M176" i="13"/>
  <c r="M177" i="13"/>
  <c r="M178" i="13"/>
  <c r="M179" i="13"/>
  <c r="M180" i="13"/>
  <c r="M181" i="13"/>
  <c r="M182" i="13"/>
  <c r="M183" i="13"/>
  <c r="M184" i="13"/>
  <c r="M185" i="13"/>
  <c r="M186" i="13"/>
  <c r="M187" i="13"/>
  <c r="M188" i="13"/>
  <c r="M189" i="13"/>
  <c r="M190" i="13"/>
  <c r="M191" i="13"/>
  <c r="M192" i="13"/>
  <c r="M193" i="13"/>
  <c r="X6" i="8" l="1"/>
  <c r="O5" i="15" s="1"/>
  <c r="X11" i="8"/>
  <c r="O10" i="15" s="1"/>
  <c r="X7" i="8"/>
  <c r="O6" i="15" s="1"/>
  <c r="X3" i="8"/>
  <c r="O2" i="15" s="1"/>
  <c r="X4" i="8"/>
  <c r="O3" i="15" s="1"/>
  <c r="X13" i="8"/>
  <c r="O12" i="15" s="1"/>
  <c r="X15" i="8"/>
  <c r="O14" i="15" s="1"/>
  <c r="X5" i="13"/>
  <c r="X15" i="13"/>
  <c r="X9" i="13"/>
  <c r="V16" i="8" s="1"/>
  <c r="M15" i="15" s="1"/>
  <c r="M12" i="13"/>
  <c r="X12" i="13" s="1"/>
  <c r="M7" i="13"/>
  <c r="X7" i="13" s="1"/>
  <c r="M4" i="13"/>
  <c r="X4" i="13" s="1"/>
  <c r="V5" i="8" s="1"/>
  <c r="M4" i="15" s="1"/>
  <c r="M13" i="13"/>
  <c r="X13" i="13" s="1"/>
  <c r="V12" i="8" s="1"/>
  <c r="M11" i="15" s="1"/>
  <c r="M11" i="13"/>
  <c r="X11" i="13" s="1"/>
  <c r="M3" i="13"/>
  <c r="X3" i="13" s="1"/>
  <c r="V3" i="8" s="1"/>
  <c r="M2" i="13"/>
  <c r="X2" i="13" s="1"/>
  <c r="M2" i="15" l="1"/>
  <c r="V10" i="8"/>
  <c r="M9" i="15" s="1"/>
  <c r="V14" i="8"/>
  <c r="M13" i="15" s="1"/>
  <c r="V6" i="8"/>
  <c r="M5" i="15" s="1"/>
  <c r="X6" i="13"/>
  <c r="V7" i="8" s="1"/>
  <c r="M6" i="15" s="1"/>
  <c r="X8" i="13"/>
  <c r="V11" i="8" s="1"/>
  <c r="M10" i="15" s="1"/>
  <c r="V4" i="8"/>
  <c r="M3" i="15" s="1"/>
  <c r="V8" i="8"/>
  <c r="M7" i="15" s="1"/>
  <c r="X14" i="13"/>
  <c r="V13" i="8" s="1"/>
  <c r="M12" i="15" s="1"/>
  <c r="X10" i="13"/>
  <c r="D14" i="8" a="1"/>
  <c r="D14" i="8" s="1"/>
  <c r="D15" i="8" a="1"/>
  <c r="D15" i="8" s="1"/>
  <c r="D2" i="8" a="1"/>
  <c r="D2" i="8" s="1"/>
  <c r="D10" i="8" a="1"/>
  <c r="D10" i="8" s="1"/>
  <c r="D6" i="8" a="1"/>
  <c r="D6" i="8" s="1"/>
  <c r="D13" i="8" a="1"/>
  <c r="D13" i="8" s="1"/>
  <c r="D9" i="8" a="1"/>
  <c r="D9" i="8" s="1"/>
  <c r="D5" i="8" a="1"/>
  <c r="D5" i="8" s="1"/>
  <c r="D12" i="8" a="1"/>
  <c r="D12" i="8" s="1"/>
  <c r="D8" i="8" a="1"/>
  <c r="D8" i="8" s="1"/>
  <c r="D4" i="8" a="1"/>
  <c r="D4" i="8" s="1"/>
  <c r="D6" i="14" s="1" a="1"/>
  <c r="D6" i="14" s="1"/>
  <c r="D11" i="8" a="1"/>
  <c r="D11" i="8" s="1"/>
  <c r="D7" i="8" a="1"/>
  <c r="D7" i="8" s="1"/>
  <c r="D3" i="8" a="1"/>
  <c r="D3" i="8" s="1"/>
  <c r="D2" i="14" l="1" a="1"/>
  <c r="D2" i="14" s="1"/>
  <c r="V15" i="8"/>
  <c r="M14" i="15" s="1"/>
  <c r="L11" i="8"/>
  <c r="C10" i="15" s="1"/>
  <c r="L12" i="8"/>
  <c r="C11" i="15" s="1"/>
  <c r="V9" i="8"/>
  <c r="M8" i="15" s="1"/>
  <c r="F2" i="8" a="1"/>
  <c r="F2" i="8" s="1"/>
  <c r="F3" i="8" a="1"/>
  <c r="F3" i="8" s="1"/>
  <c r="F7" i="8" a="1"/>
  <c r="F7" i="8" s="1"/>
  <c r="F11" i="8" a="1"/>
  <c r="F11" i="8" s="1"/>
  <c r="F15" i="8" a="1"/>
  <c r="F15" i="8" s="1"/>
  <c r="F19" i="8" a="1"/>
  <c r="F19" i="8" s="1"/>
  <c r="F23" i="8" a="1"/>
  <c r="F23" i="8" s="1"/>
  <c r="F27" i="8" a="1"/>
  <c r="F27" i="8" s="1"/>
  <c r="F31" i="8" a="1"/>
  <c r="F31" i="8" s="1"/>
  <c r="F35" i="8" a="1"/>
  <c r="F35" i="8" s="1"/>
  <c r="F39" i="8" a="1"/>
  <c r="F39" i="8" s="1"/>
  <c r="F43" i="8" a="1"/>
  <c r="F43" i="8" s="1"/>
  <c r="F4" i="8" a="1"/>
  <c r="F4" i="8" s="1"/>
  <c r="F8" i="8" a="1"/>
  <c r="F8" i="8" s="1"/>
  <c r="F12" i="8" a="1"/>
  <c r="F12" i="8" s="1"/>
  <c r="F16" i="8" a="1"/>
  <c r="F16" i="8" s="1"/>
  <c r="F20" i="8" a="1"/>
  <c r="F20" i="8" s="1"/>
  <c r="F24" i="8" a="1"/>
  <c r="F24" i="8" s="1"/>
  <c r="F28" i="8" a="1"/>
  <c r="F28" i="8" s="1"/>
  <c r="F32" i="8" a="1"/>
  <c r="F32" i="8" s="1"/>
  <c r="F36" i="8" a="1"/>
  <c r="F36" i="8" s="1"/>
  <c r="F40" i="8" a="1"/>
  <c r="F40" i="8" s="1"/>
  <c r="F5" i="8" a="1"/>
  <c r="F5" i="8" s="1"/>
  <c r="F9" i="8" a="1"/>
  <c r="F9" i="8" s="1"/>
  <c r="F13" i="8" a="1"/>
  <c r="F13" i="8" s="1"/>
  <c r="F17" i="8" a="1"/>
  <c r="F17" i="8" s="1"/>
  <c r="F21" i="8" a="1"/>
  <c r="F21" i="8" s="1"/>
  <c r="F25" i="8" a="1"/>
  <c r="F25" i="8" s="1"/>
  <c r="F29" i="8" a="1"/>
  <c r="F29" i="8" s="1"/>
  <c r="F33" i="8" a="1"/>
  <c r="F33" i="8" s="1"/>
  <c r="F37" i="8" a="1"/>
  <c r="F37" i="8" s="1"/>
  <c r="F41" i="8" a="1"/>
  <c r="F41" i="8" s="1"/>
  <c r="F6" i="8" a="1"/>
  <c r="F6" i="8" s="1"/>
  <c r="F10" i="8" a="1"/>
  <c r="F10" i="8" s="1"/>
  <c r="F14" i="8" a="1"/>
  <c r="F14" i="8" s="1"/>
  <c r="F18" i="8" a="1"/>
  <c r="F18" i="8" s="1"/>
  <c r="F22" i="8" a="1"/>
  <c r="F22" i="8" s="1"/>
  <c r="F26" i="8" a="1"/>
  <c r="F26" i="8" s="1"/>
  <c r="F30" i="8" a="1"/>
  <c r="F30" i="8" s="1"/>
  <c r="F34" i="8" a="1"/>
  <c r="F34" i="8" s="1"/>
  <c r="F38" i="8" a="1"/>
  <c r="F38" i="8" s="1"/>
  <c r="F42" i="8" a="1"/>
  <c r="F42" i="8" s="1"/>
  <c r="E6" i="14" a="1"/>
  <c r="E6" i="14" s="1"/>
  <c r="D5" i="14" a="1"/>
  <c r="D5" i="14" s="1"/>
  <c r="E5" i="14" a="1"/>
  <c r="E5" i="14" s="1"/>
  <c r="D3" i="14" a="1"/>
  <c r="D3" i="14" s="1"/>
  <c r="E4" i="14" a="1"/>
  <c r="E4" i="14" s="1"/>
  <c r="D4" i="14" a="1"/>
  <c r="D4" i="14" s="1"/>
  <c r="E7" i="14" a="1"/>
  <c r="E7" i="14" s="1"/>
  <c r="D7" i="14" a="1"/>
  <c r="D7" i="14" s="1"/>
  <c r="E3" i="14" a="1"/>
  <c r="E3" i="14" s="1"/>
  <c r="E2" i="14" a="1"/>
  <c r="E2" i="14" s="1"/>
  <c r="E11" i="14" a="1"/>
  <c r="E11" i="14" s="1"/>
  <c r="D18" i="14" a="1"/>
  <c r="D18" i="14" s="1"/>
  <c r="D21" i="14" a="1"/>
  <c r="D21" i="14" s="1"/>
  <c r="E16" i="14" a="1"/>
  <c r="E16" i="14" s="1"/>
  <c r="D17" i="14" a="1"/>
  <c r="D17" i="14" s="1"/>
  <c r="E14" i="14" a="1"/>
  <c r="E14" i="14" s="1"/>
  <c r="E22" i="14" a="1"/>
  <c r="E22" i="14" s="1"/>
  <c r="D20" i="14" a="1"/>
  <c r="D20" i="14" s="1"/>
  <c r="E12" i="14" a="1"/>
  <c r="E12" i="14" s="1"/>
  <c r="E10" i="14" a="1"/>
  <c r="E10" i="14" s="1"/>
  <c r="E18" i="14" a="1"/>
  <c r="E18" i="14" s="1"/>
  <c r="E15" i="14" a="1"/>
  <c r="E15" i="14" s="1"/>
  <c r="E19" i="14" a="1"/>
  <c r="E19" i="14" s="1"/>
  <c r="D15" i="14" a="1"/>
  <c r="D15" i="14" s="1"/>
  <c r="E21" i="14" a="1"/>
  <c r="E21" i="14" s="1"/>
  <c r="D8" i="14" a="1"/>
  <c r="D8" i="14" s="1"/>
  <c r="E13" i="14" a="1"/>
  <c r="E13" i="14" s="1"/>
  <c r="E9" i="14" a="1"/>
  <c r="E9" i="14" s="1"/>
  <c r="D9" i="14" a="1"/>
  <c r="D9" i="14" s="1"/>
  <c r="D13" i="14" a="1"/>
  <c r="D13" i="14" s="1"/>
  <c r="D16" i="14" a="1"/>
  <c r="D16" i="14" s="1"/>
  <c r="D12" i="14" a="1"/>
  <c r="D12" i="14" s="1"/>
  <c r="E17" i="14" a="1"/>
  <c r="E17" i="14" s="1"/>
  <c r="D19" i="14" a="1"/>
  <c r="D19" i="14" s="1"/>
  <c r="E20" i="14" a="1"/>
  <c r="E20" i="14" s="1"/>
  <c r="D14" i="14" a="1"/>
  <c r="D14" i="14" s="1"/>
  <c r="D10" i="14" a="1"/>
  <c r="D10" i="14" s="1"/>
  <c r="D11" i="14" a="1"/>
  <c r="D11" i="14" s="1"/>
  <c r="E8" i="14" a="1"/>
  <c r="E8" i="14" s="1"/>
  <c r="D22" i="14" a="1"/>
  <c r="D22" i="14" s="1"/>
  <c r="L8" i="8"/>
  <c r="C7" i="15" s="1"/>
  <c r="L10" i="8"/>
  <c r="C9" i="15" s="1"/>
  <c r="L4" i="8"/>
  <c r="C3" i="15" s="1"/>
  <c r="L6" i="8"/>
  <c r="C5" i="15" s="1"/>
  <c r="L5" i="8"/>
  <c r="C4" i="15" s="1"/>
  <c r="L15" i="8"/>
  <c r="C14" i="15" s="1"/>
  <c r="L7" i="8"/>
  <c r="C6" i="15" s="1"/>
  <c r="L3" i="8"/>
  <c r="C2" i="15" s="1"/>
  <c r="L13" i="8"/>
  <c r="C12" i="15" s="1"/>
  <c r="L9" i="8"/>
  <c r="C8" i="15" s="1"/>
  <c r="L14" i="8"/>
  <c r="C13" i="15" s="1"/>
  <c r="L16" i="8"/>
  <c r="C15" i="15" s="1"/>
  <c r="F6" i="14" l="1"/>
  <c r="F5" i="14"/>
  <c r="F3" i="14"/>
  <c r="F4" i="14"/>
  <c r="F7" i="14"/>
  <c r="O12" i="8"/>
  <c r="F11" i="15" s="1"/>
  <c r="O6" i="8"/>
  <c r="F5" i="15" s="1"/>
  <c r="O4" i="8"/>
  <c r="F3" i="15" s="1"/>
  <c r="O11" i="8"/>
  <c r="F10" i="15" s="1"/>
  <c r="O3" i="8"/>
  <c r="F2" i="15" s="1"/>
  <c r="O5" i="8"/>
  <c r="F4" i="15" s="1"/>
  <c r="O14" i="8"/>
  <c r="F13" i="15" s="1"/>
  <c r="O8" i="8"/>
  <c r="F7" i="15" s="1"/>
  <c r="O10" i="8"/>
  <c r="F9" i="15" s="1"/>
  <c r="O15" i="8"/>
  <c r="F14" i="15" s="1"/>
  <c r="O13" i="8"/>
  <c r="F12" i="15" s="1"/>
  <c r="O16" i="8"/>
  <c r="F15" i="15" s="1"/>
  <c r="O7" i="8"/>
  <c r="F6" i="15" s="1"/>
  <c r="O9" i="8"/>
  <c r="F8" i="15" s="1"/>
  <c r="H2" i="14" a="1"/>
  <c r="H2" i="14" s="1"/>
  <c r="G2" i="14" a="1"/>
  <c r="G2" i="14" s="1"/>
  <c r="H10" i="14" a="1"/>
  <c r="H10" i="14" s="1"/>
  <c r="H22" i="14" a="1"/>
  <c r="H22" i="14" s="1"/>
  <c r="H11" i="14" a="1"/>
  <c r="H11" i="14" s="1"/>
  <c r="H7" i="14" a="1"/>
  <c r="H7" i="14" s="1"/>
  <c r="G14" i="14" a="1"/>
  <c r="G14" i="14" s="1"/>
  <c r="H17" i="14" a="1"/>
  <c r="H17" i="14" s="1"/>
  <c r="H19" i="14" a="1"/>
  <c r="H19" i="14" s="1"/>
  <c r="H12" i="14" a="1"/>
  <c r="H12" i="14" s="1"/>
  <c r="H14" i="14" a="1"/>
  <c r="H14" i="14" s="1"/>
  <c r="H6" i="14" a="1"/>
  <c r="H6" i="14" s="1"/>
  <c r="H3" i="14" a="1"/>
  <c r="H3" i="14" s="1"/>
  <c r="H8" i="14" a="1"/>
  <c r="H8" i="14" s="1"/>
  <c r="H9" i="14" a="1"/>
  <c r="H9" i="14" s="1"/>
  <c r="H15" i="14" a="1"/>
  <c r="H15" i="14" s="1"/>
  <c r="H5" i="14" a="1"/>
  <c r="H5" i="14" s="1"/>
  <c r="H20" i="14" a="1"/>
  <c r="H20" i="14" s="1"/>
  <c r="H13" i="14" a="1"/>
  <c r="H13" i="14" s="1"/>
  <c r="H21" i="14" a="1"/>
  <c r="H21" i="14" s="1"/>
  <c r="H18" i="14" a="1"/>
  <c r="H18" i="14" s="1"/>
  <c r="H16" i="14" a="1"/>
  <c r="H16" i="14" s="1"/>
  <c r="H4" i="14" a="1"/>
  <c r="H4" i="14" s="1"/>
  <c r="G22" i="14" a="1"/>
  <c r="G22" i="14" s="1"/>
  <c r="G9" i="14" a="1"/>
  <c r="G9" i="14" s="1"/>
  <c r="G7" i="14" a="1"/>
  <c r="G7" i="14" s="1"/>
  <c r="G10" i="14" a="1"/>
  <c r="G10" i="14" s="1"/>
  <c r="G19" i="14" a="1"/>
  <c r="G19" i="14" s="1"/>
  <c r="G13" i="14" a="1"/>
  <c r="G13" i="14" s="1"/>
  <c r="G8" i="14" a="1"/>
  <c r="G8" i="14" s="1"/>
  <c r="G15" i="14" a="1"/>
  <c r="G15" i="14" s="1"/>
  <c r="G16" i="14" a="1"/>
  <c r="G16" i="14" s="1"/>
  <c r="G4" i="14" a="1"/>
  <c r="G4" i="14" s="1"/>
  <c r="G12" i="14" a="1"/>
  <c r="G12" i="14" s="1"/>
  <c r="G17" i="14" a="1"/>
  <c r="G17" i="14" s="1"/>
  <c r="G21" i="14" a="1"/>
  <c r="G21" i="14" s="1"/>
  <c r="G3" i="14" a="1"/>
  <c r="G3" i="14" s="1"/>
  <c r="G6" i="14" a="1"/>
  <c r="G6" i="14" s="1"/>
  <c r="G11" i="14" a="1"/>
  <c r="G11" i="14" s="1"/>
  <c r="G20" i="14" a="1"/>
  <c r="G20" i="14" s="1"/>
  <c r="G18" i="14" a="1"/>
  <c r="G18" i="14" s="1"/>
  <c r="G5" i="14" a="1"/>
  <c r="G5" i="14" s="1"/>
  <c r="F18" i="14"/>
  <c r="F12" i="14"/>
  <c r="F15" i="14"/>
  <c r="F19" i="14"/>
  <c r="F17" i="14"/>
  <c r="F8" i="14"/>
  <c r="F20" i="14"/>
  <c r="F21" i="14"/>
  <c r="F14" i="14"/>
  <c r="F16" i="14"/>
  <c r="F10" i="14"/>
  <c r="F22" i="14"/>
  <c r="F11" i="14"/>
  <c r="F9" i="14"/>
  <c r="F13" i="14"/>
  <c r="F2" i="14"/>
  <c r="I4" i="8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AA6" i="13" l="1"/>
  <c r="AA9" i="13"/>
  <c r="AB10" i="13"/>
  <c r="AB3" i="13"/>
  <c r="AB12" i="13"/>
  <c r="AB4" i="13"/>
  <c r="Z5" i="8" s="1"/>
  <c r="Q4" i="15" s="1"/>
  <c r="AB7" i="13"/>
  <c r="AB5" i="13"/>
  <c r="AB13" i="13"/>
  <c r="AB14" i="13"/>
  <c r="AB6" i="13"/>
  <c r="AB11" i="13"/>
  <c r="AB15" i="13"/>
  <c r="AB9" i="13"/>
  <c r="AB8" i="13"/>
  <c r="AA14" i="13"/>
  <c r="AB2" i="13"/>
  <c r="Z14" i="8" s="1"/>
  <c r="Q13" i="15" s="1"/>
  <c r="AA7" i="13"/>
  <c r="AA5" i="13"/>
  <c r="AA13" i="13"/>
  <c r="AA3" i="13"/>
  <c r="AA11" i="13"/>
  <c r="AA15" i="13"/>
  <c r="M14" i="14"/>
  <c r="AA10" i="13"/>
  <c r="AA4" i="13"/>
  <c r="AA12" i="13"/>
  <c r="AA8" i="13"/>
  <c r="AA2" i="13"/>
  <c r="M15" i="14"/>
  <c r="N15" i="14"/>
  <c r="N14" i="14"/>
  <c r="AC15" i="13" a="1"/>
  <c r="AC15" i="13" s="1"/>
  <c r="AC14" i="13" a="1"/>
  <c r="AC14" i="13" s="1"/>
  <c r="AC7" i="13" a="1"/>
  <c r="AC7" i="13" s="1"/>
  <c r="AC9" i="13" a="1"/>
  <c r="AC9" i="13" s="1"/>
  <c r="AC11" i="13" a="1"/>
  <c r="AC11" i="13" s="1"/>
  <c r="AC8" i="13" a="1"/>
  <c r="AC8" i="13" s="1"/>
  <c r="AC10" i="13" a="1"/>
  <c r="AC10" i="13" s="1"/>
  <c r="AC13" i="13" a="1"/>
  <c r="AC13" i="13" s="1"/>
  <c r="AC12" i="13" a="1"/>
  <c r="AC12" i="13" s="1"/>
  <c r="AC4" i="13" a="1"/>
  <c r="AC4" i="13" s="1"/>
  <c r="AA5" i="8" s="1"/>
  <c r="R4" i="15" s="1"/>
  <c r="AC3" i="13" a="1"/>
  <c r="AC3" i="13" s="1"/>
  <c r="AC5" i="13" a="1"/>
  <c r="AC5" i="13" s="1"/>
  <c r="AC6" i="13" a="1"/>
  <c r="AC6" i="13" s="1"/>
  <c r="AC2" i="13" a="1"/>
  <c r="AC2" i="13" s="1"/>
  <c r="N13" i="14"/>
  <c r="M13" i="14"/>
  <c r="N6" i="14"/>
  <c r="N9" i="14"/>
  <c r="M9" i="14"/>
  <c r="N11" i="14"/>
  <c r="N8" i="14"/>
  <c r="M7" i="14"/>
  <c r="M8" i="14"/>
  <c r="M11" i="14"/>
  <c r="N7" i="14"/>
  <c r="N10" i="14"/>
  <c r="N5" i="14"/>
  <c r="M5" i="14"/>
  <c r="M2" i="14"/>
  <c r="M10" i="14"/>
  <c r="N12" i="14"/>
  <c r="M3" i="14"/>
  <c r="N3" i="14"/>
  <c r="M6" i="14"/>
  <c r="M12" i="14"/>
  <c r="N4" i="14"/>
  <c r="M4" i="14"/>
  <c r="N2" i="14"/>
  <c r="Y14" i="8" l="1"/>
  <c r="P13" i="15" s="1"/>
  <c r="Y11" i="8"/>
  <c r="P10" i="15" s="1"/>
  <c r="Z7" i="8"/>
  <c r="Q6" i="15" s="1"/>
  <c r="AA7" i="8"/>
  <c r="R6" i="15" s="1"/>
  <c r="AA10" i="8"/>
  <c r="R9" i="15" s="1"/>
  <c r="Z11" i="8"/>
  <c r="Q10" i="15" s="1"/>
  <c r="Z10" i="8"/>
  <c r="Q9" i="15" s="1"/>
  <c r="AA14" i="8"/>
  <c r="R13" i="15" s="1"/>
  <c r="Z6" i="8"/>
  <c r="Q5" i="15" s="1"/>
  <c r="AA6" i="8"/>
  <c r="R5" i="15" s="1"/>
  <c r="AA12" i="8"/>
  <c r="R11" i="15" s="1"/>
  <c r="AA11" i="8"/>
  <c r="R10" i="15" s="1"/>
  <c r="Z16" i="8"/>
  <c r="Q15" i="15" s="1"/>
  <c r="AA16" i="8"/>
  <c r="R15" i="15" s="1"/>
  <c r="Y12" i="8"/>
  <c r="P11" i="15" s="1"/>
  <c r="Y16" i="8"/>
  <c r="Z12" i="8"/>
  <c r="Q11" i="15" s="1"/>
  <c r="Z9" i="8"/>
  <c r="Q8" i="15" s="1"/>
  <c r="AA15" i="8"/>
  <c r="R14" i="15" s="1"/>
  <c r="Y9" i="8"/>
  <c r="P8" i="15" s="1"/>
  <c r="Z4" i="8"/>
  <c r="Q3" i="15" s="1"/>
  <c r="Y8" i="8"/>
  <c r="P7" i="15" s="1"/>
  <c r="AA4" i="8"/>
  <c r="R3" i="15" s="1"/>
  <c r="AA3" i="8"/>
  <c r="R2" i="15" s="1"/>
  <c r="AA13" i="8"/>
  <c r="R12" i="15" s="1"/>
  <c r="Z13" i="8"/>
  <c r="Q12" i="15" s="1"/>
  <c r="AA8" i="8"/>
  <c r="R7" i="15" s="1"/>
  <c r="Y3" i="8"/>
  <c r="P2" i="15" s="1"/>
  <c r="Z8" i="8"/>
  <c r="Q7" i="15" s="1"/>
  <c r="Z3" i="8"/>
  <c r="Q2" i="15" s="1"/>
  <c r="Z15" i="8"/>
  <c r="Q14" i="15" s="1"/>
  <c r="AA9" i="8"/>
  <c r="R8" i="15" s="1"/>
  <c r="Y15" i="8"/>
  <c r="P14" i="15" s="1"/>
  <c r="Y4" i="8"/>
  <c r="P3" i="15" s="1"/>
  <c r="X7" i="14"/>
  <c r="S4" i="14"/>
  <c r="R4" i="14"/>
  <c r="Y7" i="14"/>
  <c r="X9" i="14"/>
  <c r="Y6" i="14"/>
  <c r="R5" i="14"/>
  <c r="S6" i="14"/>
  <c r="R8" i="14"/>
  <c r="Y4" i="14"/>
  <c r="Y3" i="14"/>
  <c r="S9" i="14"/>
  <c r="Y9" i="14"/>
  <c r="R6" i="14"/>
  <c r="X3" i="14"/>
  <c r="S8" i="14"/>
  <c r="R3" i="14"/>
  <c r="S3" i="14"/>
  <c r="X8" i="14"/>
  <c r="X4" i="14"/>
  <c r="Y5" i="14"/>
  <c r="S5" i="14"/>
  <c r="R9" i="14"/>
  <c r="Y8" i="14"/>
  <c r="X6" i="14"/>
  <c r="X5" i="14"/>
  <c r="Y7" i="8"/>
  <c r="P6" i="15" s="1"/>
  <c r="Y5" i="8"/>
  <c r="P4" i="15" s="1"/>
  <c r="Y13" i="8"/>
  <c r="P12" i="15" s="1"/>
  <c r="Y6" i="8"/>
  <c r="P5" i="15" s="1"/>
  <c r="Y10" i="8"/>
  <c r="P9" i="15" s="1"/>
  <c r="S7" i="14"/>
  <c r="R7" i="14"/>
  <c r="G16" i="8" a="1"/>
  <c r="G16" i="8" s="1"/>
  <c r="G18" i="8" a="1"/>
  <c r="G18" i="8" s="1"/>
  <c r="G20" i="8" a="1"/>
  <c r="G20" i="8" s="1"/>
  <c r="G22" i="8" a="1"/>
  <c r="G22" i="8" s="1"/>
  <c r="G24" i="8" a="1"/>
  <c r="G24" i="8" s="1"/>
  <c r="G26" i="8" a="1"/>
  <c r="G26" i="8" s="1"/>
  <c r="G28" i="8" a="1"/>
  <c r="G28" i="8" s="1"/>
  <c r="G30" i="8" a="1"/>
  <c r="G30" i="8" s="1"/>
  <c r="G32" i="8" a="1"/>
  <c r="G32" i="8" s="1"/>
  <c r="G34" i="8" a="1"/>
  <c r="G34" i="8" s="1"/>
  <c r="G36" i="8" a="1"/>
  <c r="G36" i="8" s="1"/>
  <c r="G38" i="8" a="1"/>
  <c r="G38" i="8" s="1"/>
  <c r="G40" i="8" a="1"/>
  <c r="G40" i="8" s="1"/>
  <c r="G42" i="8" a="1"/>
  <c r="G42" i="8" s="1"/>
  <c r="G17" i="8" a="1"/>
  <c r="G17" i="8" s="1"/>
  <c r="G19" i="8" a="1"/>
  <c r="G19" i="8" s="1"/>
  <c r="G21" i="8" a="1"/>
  <c r="G21" i="8" s="1"/>
  <c r="G23" i="8" a="1"/>
  <c r="G23" i="8" s="1"/>
  <c r="G25" i="8" a="1"/>
  <c r="G25" i="8" s="1"/>
  <c r="G27" i="8" a="1"/>
  <c r="G27" i="8" s="1"/>
  <c r="G29" i="8" a="1"/>
  <c r="G29" i="8" s="1"/>
  <c r="G31" i="8" a="1"/>
  <c r="G31" i="8" s="1"/>
  <c r="G33" i="8" a="1"/>
  <c r="G33" i="8" s="1"/>
  <c r="G35" i="8" a="1"/>
  <c r="G35" i="8" s="1"/>
  <c r="G37" i="8" a="1"/>
  <c r="G37" i="8" s="1"/>
  <c r="G39" i="8" a="1"/>
  <c r="G39" i="8" s="1"/>
  <c r="G41" i="8" a="1"/>
  <c r="G41" i="8" s="1"/>
  <c r="G43" i="8" a="1"/>
  <c r="G43" i="8" s="1"/>
  <c r="G15" i="8" a="1"/>
  <c r="G15" i="8" s="1"/>
  <c r="G14" i="8" a="1"/>
  <c r="G14" i="8" s="1"/>
  <c r="G3" i="8" a="1"/>
  <c r="G3" i="8" s="1"/>
  <c r="G7" i="8" a="1"/>
  <c r="G7" i="8" s="1"/>
  <c r="G11" i="8" a="1"/>
  <c r="G11" i="8" s="1"/>
  <c r="G4" i="8" a="1"/>
  <c r="G4" i="8" s="1"/>
  <c r="G8" i="8" a="1"/>
  <c r="G8" i="8" s="1"/>
  <c r="G12" i="8" a="1"/>
  <c r="G12" i="8" s="1"/>
  <c r="G5" i="8" a="1"/>
  <c r="G5" i="8" s="1"/>
  <c r="G9" i="8" a="1"/>
  <c r="G9" i="8" s="1"/>
  <c r="G13" i="8" a="1"/>
  <c r="G13" i="8" s="1"/>
  <c r="G6" i="8" a="1"/>
  <c r="G6" i="8" s="1"/>
  <c r="G10" i="8" a="1"/>
  <c r="G10" i="8" s="1"/>
  <c r="G2" i="8" a="1"/>
  <c r="G2" i="8" s="1"/>
  <c r="P15" i="15" l="1"/>
  <c r="AB3" i="8"/>
  <c r="S2" i="15" s="1"/>
  <c r="T4" i="14"/>
  <c r="Z6" i="14"/>
  <c r="T6" i="14"/>
  <c r="T5" i="14"/>
  <c r="T7" i="14"/>
  <c r="T8" i="14"/>
  <c r="Z9" i="14"/>
  <c r="Z7" i="14"/>
  <c r="Z8" i="14"/>
  <c r="T3" i="14"/>
  <c r="Z4" i="14"/>
  <c r="Z5" i="14"/>
  <c r="Z3" i="14"/>
  <c r="T9" i="14"/>
  <c r="P11" i="8"/>
  <c r="G10" i="15" s="1"/>
  <c r="P12" i="8"/>
  <c r="G11" i="15" s="1"/>
  <c r="AB11" i="8"/>
  <c r="S10" i="15" s="1"/>
  <c r="AB12" i="8"/>
  <c r="S11" i="15" s="1"/>
  <c r="AB7" i="8"/>
  <c r="S6" i="15" s="1"/>
  <c r="AB4" i="8"/>
  <c r="S3" i="15" s="1"/>
  <c r="AB15" i="8"/>
  <c r="S14" i="15" s="1"/>
  <c r="AB8" i="8"/>
  <c r="S7" i="15" s="1"/>
  <c r="AB5" i="8"/>
  <c r="S4" i="15" s="1"/>
  <c r="AB9" i="8"/>
  <c r="S8" i="15" s="1"/>
  <c r="AB10" i="8"/>
  <c r="S9" i="15" s="1"/>
  <c r="AB13" i="8"/>
  <c r="S12" i="15" s="1"/>
  <c r="AB14" i="8"/>
  <c r="S13" i="15" s="1"/>
  <c r="AB16" i="8"/>
  <c r="S15" i="15" s="1"/>
  <c r="AB6" i="8"/>
  <c r="S5" i="15" s="1"/>
  <c r="P8" i="8"/>
  <c r="G7" i="15" s="1"/>
  <c r="P9" i="8"/>
  <c r="G8" i="15" s="1"/>
  <c r="P4" i="8"/>
  <c r="G3" i="15" s="1"/>
  <c r="P5" i="8"/>
  <c r="G4" i="15" s="1"/>
  <c r="P6" i="8"/>
  <c r="G5" i="15" s="1"/>
  <c r="P13" i="8"/>
  <c r="G12" i="15" s="1"/>
  <c r="P3" i="8"/>
  <c r="G2" i="15" s="1"/>
  <c r="P7" i="8"/>
  <c r="G6" i="15" s="1"/>
  <c r="P16" i="8"/>
  <c r="G15" i="15" s="1"/>
  <c r="P15" i="8"/>
  <c r="G14" i="15" s="1"/>
  <c r="P14" i="8"/>
  <c r="G13" i="15" s="1"/>
  <c r="P10" i="8"/>
  <c r="G9" i="15" s="1"/>
  <c r="R4" i="10" l="1"/>
  <c r="C36" i="8" l="1" a="1"/>
  <c r="C36" i="8" s="1"/>
  <c r="C30" i="8" a="1"/>
  <c r="C30" i="8" s="1"/>
  <c r="C35" i="8" a="1"/>
  <c r="C35" i="8" s="1"/>
  <c r="C40" i="8" a="1"/>
  <c r="C40" i="8" s="1"/>
  <c r="C19" i="8" a="1"/>
  <c r="C19" i="8" s="1"/>
  <c r="C23" i="8" a="1"/>
  <c r="C23" i="8" s="1"/>
  <c r="C13" i="8" a="1"/>
  <c r="C13" i="8" s="1"/>
  <c r="C25" i="8" a="1"/>
  <c r="C25" i="8" s="1"/>
  <c r="C7" i="8" a="1"/>
  <c r="C7" i="8" s="1"/>
  <c r="C14" i="8" a="1"/>
  <c r="C14" i="8" s="1"/>
  <c r="C4" i="8" a="1"/>
  <c r="C4" i="8" s="1"/>
  <c r="C6" i="8" a="1"/>
  <c r="C6" i="8" s="1"/>
  <c r="C38" i="8" a="1"/>
  <c r="C38" i="8" s="1"/>
  <c r="C20" i="8" a="1"/>
  <c r="C20" i="8" s="1"/>
  <c r="C27" i="8" a="1"/>
  <c r="C27" i="8" s="1"/>
  <c r="C41" i="8" a="1"/>
  <c r="C41" i="8" s="1"/>
  <c r="C18" i="8" a="1"/>
  <c r="C18" i="8" s="1"/>
  <c r="C17" i="8" a="1"/>
  <c r="C17" i="8" s="1"/>
  <c r="C43" i="8" a="1"/>
  <c r="C43" i="8" s="1"/>
  <c r="C3" i="8" a="1"/>
  <c r="C3" i="8" s="1"/>
  <c r="E4" i="10" s="1" a="1"/>
  <c r="E4" i="10" s="1"/>
  <c r="C37" i="8" a="1"/>
  <c r="C37" i="8" s="1"/>
  <c r="D21" i="10" s="1" a="1"/>
  <c r="D21" i="10" s="1"/>
  <c r="C8" i="8" a="1"/>
  <c r="C8" i="8" s="1"/>
  <c r="C33" i="8" a="1"/>
  <c r="C33" i="8" s="1"/>
  <c r="C31" i="8" a="1"/>
  <c r="C31" i="8" s="1"/>
  <c r="C24" i="8" a="1"/>
  <c r="C24" i="8" s="1"/>
  <c r="C9" i="8" a="1"/>
  <c r="C9" i="8" s="1"/>
  <c r="C39" i="8" a="1"/>
  <c r="C39" i="8" s="1"/>
  <c r="C16" i="8" a="1"/>
  <c r="C16" i="8" s="1"/>
  <c r="C34" i="8" a="1"/>
  <c r="C34" i="8" s="1"/>
  <c r="C42" i="8" a="1"/>
  <c r="C42" i="8" s="1"/>
  <c r="C10" i="8" a="1"/>
  <c r="C10" i="8" s="1"/>
  <c r="C28" i="8" a="1"/>
  <c r="C28" i="8" s="1"/>
  <c r="C2" i="8" a="1"/>
  <c r="C2" i="8" s="1"/>
  <c r="C29" i="8" a="1"/>
  <c r="C29" i="8" s="1"/>
  <c r="C26" i="8" a="1"/>
  <c r="C26" i="8" s="1"/>
  <c r="C32" i="8" a="1"/>
  <c r="C32" i="8" s="1"/>
  <c r="C22" i="8" a="1"/>
  <c r="C22" i="8" s="1"/>
  <c r="C15" i="8" a="1"/>
  <c r="C15" i="8" s="1"/>
  <c r="D7" i="10" s="1" a="1"/>
  <c r="D7" i="10" s="1"/>
  <c r="C11" i="8" a="1"/>
  <c r="C11" i="8" s="1"/>
  <c r="E3" i="10" s="1" a="1"/>
  <c r="E3" i="10" s="1"/>
  <c r="C5" i="8" a="1"/>
  <c r="C5" i="8" s="1"/>
  <c r="C12" i="8" a="1"/>
  <c r="C12" i="8" s="1"/>
  <c r="D4" i="10" s="1" a="1"/>
  <c r="D4" i="10" s="1"/>
  <c r="C21" i="8" a="1"/>
  <c r="C21" i="8" s="1"/>
  <c r="E22" i="10" l="1" a="1"/>
  <c r="E22" i="10" s="1"/>
  <c r="E21" i="10" a="1"/>
  <c r="E21" i="10" s="1"/>
  <c r="F21" i="10" s="1"/>
  <c r="E20" i="10" a="1"/>
  <c r="E20" i="10" s="1"/>
  <c r="D22" i="10" a="1"/>
  <c r="D22" i="10" s="1"/>
  <c r="D3" i="10" a="1"/>
  <c r="D3" i="10" s="1"/>
  <c r="E5" i="10" a="1"/>
  <c r="E5" i="10" s="1"/>
  <c r="D5" i="10" a="1"/>
  <c r="D5" i="10" s="1"/>
  <c r="E7" i="10" a="1"/>
  <c r="E7" i="10" s="1"/>
  <c r="D6" i="10" a="1"/>
  <c r="D6" i="10" s="1"/>
  <c r="E6" i="10" a="1"/>
  <c r="E6" i="10" s="1"/>
  <c r="D8" i="10" a="1"/>
  <c r="D8" i="10" s="1"/>
  <c r="D20" i="10" a="1"/>
  <c r="D20" i="10" s="1"/>
  <c r="E8" i="10" a="1"/>
  <c r="E8" i="10" s="1"/>
  <c r="E15" i="10" a="1"/>
  <c r="E15" i="10" s="1"/>
  <c r="E17" i="10" a="1"/>
  <c r="E17" i="10" s="1"/>
  <c r="E19" i="10" a="1"/>
  <c r="E19" i="10" s="1"/>
  <c r="E14" i="10" a="1"/>
  <c r="E14" i="10" s="1"/>
  <c r="E16" i="10" a="1"/>
  <c r="E16" i="10" s="1"/>
  <c r="E18" i="10" a="1"/>
  <c r="E18" i="10" s="1"/>
  <c r="E9" i="10" a="1"/>
  <c r="E9" i="10" s="1"/>
  <c r="E11" i="10" a="1"/>
  <c r="E11" i="10" s="1"/>
  <c r="E13" i="10" a="1"/>
  <c r="E13" i="10" s="1"/>
  <c r="E10" i="10" a="1"/>
  <c r="E10" i="10" s="1"/>
  <c r="E12" i="10" a="1"/>
  <c r="E12" i="10" s="1"/>
  <c r="D9" i="10" a="1"/>
  <c r="D9" i="10" s="1"/>
  <c r="D11" i="10" a="1"/>
  <c r="D11" i="10" s="1"/>
  <c r="D13" i="10" a="1"/>
  <c r="D13" i="10" s="1"/>
  <c r="D10" i="10" a="1"/>
  <c r="D10" i="10" s="1"/>
  <c r="D12" i="10" a="1"/>
  <c r="D12" i="10" s="1"/>
  <c r="D15" i="10" a="1"/>
  <c r="D15" i="10" s="1"/>
  <c r="D17" i="10" a="1"/>
  <c r="D17" i="10" s="1"/>
  <c r="D19" i="10" a="1"/>
  <c r="D19" i="10" s="1"/>
  <c r="D14" i="10" a="1"/>
  <c r="D14" i="10" s="1"/>
  <c r="D16" i="10" a="1"/>
  <c r="D16" i="10" s="1"/>
  <c r="D18" i="10" a="1"/>
  <c r="D18" i="10" s="1"/>
  <c r="D2" i="10" a="1"/>
  <c r="D2" i="10" s="1"/>
  <c r="K16" i="8"/>
  <c r="F3" i="10"/>
  <c r="K7" i="8"/>
  <c r="B6" i="15" s="1"/>
  <c r="K6" i="8"/>
  <c r="B5" i="15" s="1"/>
  <c r="K15" i="8"/>
  <c r="B14" i="15" s="1"/>
  <c r="K4" i="8"/>
  <c r="B3" i="15" s="1"/>
  <c r="K9" i="8"/>
  <c r="B8" i="15" s="1"/>
  <c r="K12" i="8"/>
  <c r="B11" i="15" s="1"/>
  <c r="K11" i="8"/>
  <c r="B10" i="15" s="1"/>
  <c r="K13" i="8"/>
  <c r="B12" i="15" s="1"/>
  <c r="K8" i="8"/>
  <c r="B7" i="15" s="1"/>
  <c r="K14" i="8"/>
  <c r="B13" i="15" s="1"/>
  <c r="K10" i="8"/>
  <c r="B9" i="15" s="1"/>
  <c r="K3" i="8"/>
  <c r="B2" i="15" s="1"/>
  <c r="E2" i="10" a="1"/>
  <c r="E2" i="10" s="1"/>
  <c r="K5" i="8"/>
  <c r="B4" i="15" s="1"/>
  <c r="E24" i="8" a="1"/>
  <c r="E24" i="8" s="1"/>
  <c r="E13" i="8" a="1"/>
  <c r="E13" i="8" s="1"/>
  <c r="E12" i="8" a="1"/>
  <c r="E12" i="8" s="1"/>
  <c r="E19" i="8" a="1"/>
  <c r="E19" i="8" s="1"/>
  <c r="E22" i="8" a="1"/>
  <c r="E22" i="8" s="1"/>
  <c r="E3" i="8" a="1"/>
  <c r="E3" i="8" s="1"/>
  <c r="E18" i="8" a="1"/>
  <c r="E18" i="8" s="1"/>
  <c r="E5" i="8" a="1"/>
  <c r="E5" i="8" s="1"/>
  <c r="E2" i="8" a="1"/>
  <c r="E2" i="8" s="1"/>
  <c r="E29" i="8" a="1"/>
  <c r="E29" i="8" s="1"/>
  <c r="E39" i="8" a="1"/>
  <c r="E39" i="8" s="1"/>
  <c r="E36" i="8" a="1"/>
  <c r="E36" i="8" s="1"/>
  <c r="E10" i="8" a="1"/>
  <c r="E10" i="8" s="1"/>
  <c r="E16" i="8" a="1"/>
  <c r="E16" i="8" s="1"/>
  <c r="E9" i="8" a="1"/>
  <c r="E9" i="8" s="1"/>
  <c r="E43" i="8" a="1"/>
  <c r="E43" i="8" s="1"/>
  <c r="E34" i="8" a="1"/>
  <c r="E34" i="8" s="1"/>
  <c r="E6" i="8" a="1"/>
  <c r="E6" i="8" s="1"/>
  <c r="E21" i="8" a="1"/>
  <c r="E21" i="8" s="1"/>
  <c r="E32" i="8" a="1"/>
  <c r="E32" i="8" s="1"/>
  <c r="E27" i="8" a="1"/>
  <c r="E27" i="8" s="1"/>
  <c r="E7" i="8" a="1"/>
  <c r="E7" i="8" s="1"/>
  <c r="E26" i="8" a="1"/>
  <c r="E26" i="8" s="1"/>
  <c r="E42" i="8" a="1"/>
  <c r="E42" i="8" s="1"/>
  <c r="E17" i="8" a="1"/>
  <c r="E17" i="8" s="1"/>
  <c r="E33" i="8" a="1"/>
  <c r="E33" i="8" s="1"/>
  <c r="E20" i="8" a="1"/>
  <c r="E20" i="8" s="1"/>
  <c r="E23" i="8" a="1"/>
  <c r="E23" i="8" s="1"/>
  <c r="E37" i="8" a="1"/>
  <c r="E37" i="8" s="1"/>
  <c r="E31" i="8" a="1"/>
  <c r="E31" i="8" s="1"/>
  <c r="E38" i="8" a="1"/>
  <c r="E38" i="8" s="1"/>
  <c r="E28" i="8" a="1"/>
  <c r="E28" i="8" s="1"/>
  <c r="E8" i="8" a="1"/>
  <c r="E8" i="8" s="1"/>
  <c r="E14" i="8" a="1"/>
  <c r="E14" i="8" s="1"/>
  <c r="E25" i="8" a="1"/>
  <c r="E25" i="8" s="1"/>
  <c r="E30" i="8" a="1"/>
  <c r="E30" i="8" s="1"/>
  <c r="E15" i="8" a="1"/>
  <c r="E15" i="8" s="1"/>
  <c r="E4" i="8" a="1"/>
  <c r="E4" i="8" s="1"/>
  <c r="E40" i="8" a="1"/>
  <c r="E40" i="8" s="1"/>
  <c r="E11" i="8" a="1"/>
  <c r="E11" i="8" s="1"/>
  <c r="E35" i="8" a="1"/>
  <c r="E35" i="8" s="1"/>
  <c r="E41" i="8" a="1"/>
  <c r="E41" i="8" s="1"/>
  <c r="N16" i="8" l="1"/>
  <c r="E15" i="15" s="1"/>
  <c r="B15" i="15"/>
  <c r="F22" i="10"/>
  <c r="N14" i="8"/>
  <c r="E13" i="15" s="1"/>
  <c r="N6" i="8"/>
  <c r="E5" i="15" s="1"/>
  <c r="N8" i="8"/>
  <c r="E7" i="15" s="1"/>
  <c r="N7" i="8"/>
  <c r="E6" i="15" s="1"/>
  <c r="N13" i="8"/>
  <c r="E12" i="15" s="1"/>
  <c r="N11" i="8"/>
  <c r="E10" i="15" s="1"/>
  <c r="N5" i="8"/>
  <c r="E4" i="15" s="1"/>
  <c r="N12" i="8"/>
  <c r="E11" i="15" s="1"/>
  <c r="N9" i="8"/>
  <c r="E8" i="15" s="1"/>
  <c r="N3" i="8"/>
  <c r="N4" i="8"/>
  <c r="E3" i="15" s="1"/>
  <c r="N10" i="8"/>
  <c r="E9" i="15" s="1"/>
  <c r="N15" i="8"/>
  <c r="E14" i="15" s="1"/>
  <c r="F20" i="10"/>
  <c r="F19" i="10"/>
  <c r="F18" i="10"/>
  <c r="F14" i="10"/>
  <c r="F13" i="10"/>
  <c r="F12" i="10"/>
  <c r="F4" i="10"/>
  <c r="F9" i="10"/>
  <c r="F5" i="10"/>
  <c r="F16" i="10"/>
  <c r="F7" i="10"/>
  <c r="F17" i="10"/>
  <c r="F15" i="10"/>
  <c r="F11" i="10"/>
  <c r="F8" i="10"/>
  <c r="F10" i="10"/>
  <c r="F2" i="10"/>
  <c r="M4" i="8"/>
  <c r="D3" i="15" s="1"/>
  <c r="M11" i="8"/>
  <c r="D10" i="15" s="1"/>
  <c r="M6" i="8"/>
  <c r="D5" i="15" s="1"/>
  <c r="M12" i="8"/>
  <c r="D11" i="15" s="1"/>
  <c r="M9" i="8"/>
  <c r="D8" i="15" s="1"/>
  <c r="M15" i="8"/>
  <c r="D14" i="15" s="1"/>
  <c r="M7" i="8"/>
  <c r="D6" i="15" s="1"/>
  <c r="M13" i="8"/>
  <c r="D12" i="15" s="1"/>
  <c r="M16" i="8"/>
  <c r="D15" i="15" s="1"/>
  <c r="M3" i="8"/>
  <c r="D2" i="15" s="1"/>
  <c r="M5" i="8"/>
  <c r="D4" i="15" s="1"/>
  <c r="M10" i="8"/>
  <c r="D9" i="15" s="1"/>
  <c r="M14" i="8"/>
  <c r="D13" i="15" s="1"/>
  <c r="M8" i="8"/>
  <c r="D7" i="15" s="1"/>
  <c r="F6" i="10"/>
  <c r="E2" i="15" l="1"/>
  <c r="AC4" i="8"/>
  <c r="T3" i="15" s="1"/>
  <c r="AC12" i="8"/>
  <c r="T11" i="15" s="1"/>
  <c r="AC11" i="8"/>
  <c r="T10" i="15" s="1"/>
  <c r="AC15" i="8"/>
  <c r="T14" i="15" s="1"/>
  <c r="AC3" i="8"/>
  <c r="T2" i="15" s="1"/>
  <c r="AC9" i="8"/>
  <c r="T8" i="15" s="1"/>
  <c r="AC8" i="8"/>
  <c r="T7" i="15" s="1"/>
  <c r="AC6" i="8"/>
  <c r="T5" i="15" s="1"/>
  <c r="AC5" i="8"/>
  <c r="T4" i="15" s="1"/>
  <c r="AC14" i="8"/>
  <c r="T13" i="15" s="1"/>
  <c r="AC16" i="8"/>
  <c r="T15" i="15" s="1"/>
  <c r="AC10" i="8"/>
  <c r="T9" i="15" s="1"/>
  <c r="AC13" i="8"/>
  <c r="T12" i="15" s="1"/>
  <c r="AC7" i="8"/>
  <c r="T6" i="15" s="1"/>
  <c r="I8" i="10"/>
  <c r="I3" i="10"/>
  <c r="I12" i="10"/>
  <c r="J10" i="10"/>
  <c r="I10" i="10"/>
  <c r="J12" i="10"/>
  <c r="J8" i="10"/>
  <c r="I15" i="10"/>
  <c r="J15" i="10"/>
  <c r="J13" i="10"/>
  <c r="I14" i="10"/>
  <c r="J14" i="10"/>
  <c r="I13" i="10"/>
  <c r="I7" i="10"/>
  <c r="J6" i="10"/>
  <c r="I6" i="10"/>
  <c r="J7" i="10"/>
  <c r="J5" i="10"/>
  <c r="I5" i="10"/>
  <c r="I2" i="10"/>
  <c r="J2" i="10"/>
  <c r="J3" i="10"/>
  <c r="J4" i="10"/>
  <c r="I4" i="10"/>
  <c r="J9" i="10"/>
  <c r="J11" i="10"/>
  <c r="I11" i="10"/>
  <c r="I9" i="10"/>
  <c r="U5" i="10" l="1"/>
  <c r="T3" i="10"/>
  <c r="T6" i="10"/>
  <c r="U3" i="10"/>
  <c r="T9" i="10"/>
  <c r="U4" i="10"/>
  <c r="U8" i="10"/>
  <c r="U6" i="10"/>
  <c r="T7" i="10"/>
  <c r="T5" i="10"/>
  <c r="T4" i="10"/>
  <c r="T8" i="10"/>
  <c r="U7" i="10"/>
  <c r="U9" i="10"/>
  <c r="N3" i="10"/>
  <c r="O7" i="10"/>
  <c r="N7" i="10"/>
  <c r="N9" i="10"/>
  <c r="N4" i="10"/>
  <c r="O6" i="10"/>
  <c r="O3" i="10"/>
  <c r="O9" i="10"/>
  <c r="O4" i="10"/>
  <c r="N8" i="10"/>
  <c r="N5" i="10"/>
  <c r="O8" i="10"/>
  <c r="O5" i="10"/>
  <c r="N6" i="10"/>
  <c r="V3" i="10" l="1"/>
  <c r="V5" i="10"/>
  <c r="V8" i="10"/>
  <c r="V4" i="10"/>
  <c r="V7" i="10"/>
  <c r="V9" i="10"/>
  <c r="P9" i="10"/>
  <c r="P3" i="10"/>
  <c r="P7" i="10"/>
  <c r="P4" i="10"/>
  <c r="V6" i="10"/>
  <c r="P5" i="10"/>
  <c r="P8" i="10"/>
  <c r="P6" i="10"/>
  <c r="V4" i="14"/>
  <c r="V5" i="14"/>
  <c r="V6" i="14" s="1"/>
  <c r="V7" i="14" s="1"/>
  <c r="V8" i="14" s="1"/>
  <c r="V9" i="14" s="1"/>
  <c r="L5" i="10" l="1"/>
  <c r="L6" i="10"/>
  <c r="L7" i="10"/>
  <c r="L8" i="10"/>
  <c r="L9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tc={A1554DD3-4E3D-8442-A71C-93A1D5AF1B06}</author>
  </authors>
  <commentList>
    <comment ref="R2" authorId="0" shapeId="0" xr:uid="{A1554DD3-4E3D-8442-A71C-93A1D5AF1B06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to scale for pick position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tc={A3469B97-672D-CF43-9FA4-C7F23D999A3D}</author>
  </authors>
  <commentList>
    <comment ref="I1" authorId="0" shapeId="0" xr:uid="{A3469B97-672D-CF43-9FA4-C7F23D999A3D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to scale for pick position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<sst xmlns="http://schemas.openxmlformats.org/spreadsheetml/2006/main" count="7650" uniqueCount="582">
  <si>
    <t>SLOT</t>
  </si>
  <si>
    <t>OPP</t>
  </si>
  <si>
    <t>STATUS</t>
  </si>
  <si>
    <t>FPTS</t>
  </si>
  <si>
    <t>QB</t>
  </si>
  <si>
    <t>RB</t>
  </si>
  <si>
    <t>WR</t>
  </si>
  <si>
    <t>LARWR</t>
  </si>
  <si>
    <t>SFWR</t>
  </si>
  <si>
    <t>TE</t>
  </si>
  <si>
    <t>Mark Andrews</t>
  </si>
  <si>
    <t>FLEX</t>
  </si>
  <si>
    <t>D/ST</t>
  </si>
  <si>
    <t>K</t>
  </si>
  <si>
    <t>Harrison Butker</t>
  </si>
  <si>
    <t>KCK</t>
  </si>
  <si>
    <t>Bench</t>
  </si>
  <si>
    <t>Breece Hall</t>
  </si>
  <si>
    <t>NYJRB</t>
  </si>
  <si>
    <t>SFQB</t>
  </si>
  <si>
    <t>Garrett Wilson</t>
  </si>
  <si>
    <t>NYJWR</t>
  </si>
  <si>
    <t>Matthew Stafford</t>
  </si>
  <si>
    <t>LARQB</t>
  </si>
  <si>
    <t>GB</t>
  </si>
  <si>
    <t>KC</t>
  </si>
  <si>
    <t>Stefon Diggs</t>
  </si>
  <si>
    <t>DJ Moore</t>
  </si>
  <si>
    <t>Pat Freiermuth</t>
  </si>
  <si>
    <t>A.J. Brown</t>
  </si>
  <si>
    <t>Buccaneers D/ST</t>
  </si>
  <si>
    <t>TBD/ST</t>
  </si>
  <si>
    <t>Travis Etienne Jr.</t>
  </si>
  <si>
    <t>Kirk Cousins</t>
  </si>
  <si>
    <t>NO</t>
  </si>
  <si>
    <t>Jalen Hurts</t>
  </si>
  <si>
    <t>Alvin Kamara</t>
  </si>
  <si>
    <t>NORB</t>
  </si>
  <si>
    <t>Justin Jefferson</t>
  </si>
  <si>
    <t>Michael Pittman Jr.</t>
  </si>
  <si>
    <t>Dalton Schultz</t>
  </si>
  <si>
    <t>TB</t>
  </si>
  <si>
    <t>Dak Prescott</t>
  </si>
  <si>
    <t>Josh Jacobs</t>
  </si>
  <si>
    <t>LVRB</t>
  </si>
  <si>
    <t>Tony Pollard</t>
  </si>
  <si>
    <t>NYG</t>
  </si>
  <si>
    <t>Chris Olave</t>
  </si>
  <si>
    <t>NOWR</t>
  </si>
  <si>
    <t>Josh Allen</t>
  </si>
  <si>
    <t>Javonte Williams</t>
  </si>
  <si>
    <t>David Montgomery</t>
  </si>
  <si>
    <t>SF</t>
  </si>
  <si>
    <t>Keenan Allen</t>
  </si>
  <si>
    <t>LACWR</t>
  </si>
  <si>
    <t>LV</t>
  </si>
  <si>
    <t>Terry McLaurin</t>
  </si>
  <si>
    <t>Dallas Goedert</t>
  </si>
  <si>
    <t>GBD/ST</t>
  </si>
  <si>
    <t>GBQB</t>
  </si>
  <si>
    <t>Rhamondre Stevenson</t>
  </si>
  <si>
    <t>NERB</t>
  </si>
  <si>
    <t>NE</t>
  </si>
  <si>
    <t>Eagles D/ST</t>
  </si>
  <si>
    <t>Joe Burrow</t>
  </si>
  <si>
    <t>Derrick Henry</t>
  </si>
  <si>
    <t>D'Andre Swift</t>
  </si>
  <si>
    <t>CeeDee Lamb</t>
  </si>
  <si>
    <t>Jaylen Waddle</t>
  </si>
  <si>
    <t>Ravens D/ST</t>
  </si>
  <si>
    <t>TBWR</t>
  </si>
  <si>
    <t>KCRB</t>
  </si>
  <si>
    <t>KCWR</t>
  </si>
  <si>
    <t>TBQB</t>
  </si>
  <si>
    <t>Saquon Barkley</t>
  </si>
  <si>
    <t>NYGRB</t>
  </si>
  <si>
    <t>DK Metcalf</t>
  </si>
  <si>
    <t>Amon-Ra St. Brown</t>
  </si>
  <si>
    <t>Jakobi Meyers</t>
  </si>
  <si>
    <t>NEWR</t>
  </si>
  <si>
    <t>LACD/ST</t>
  </si>
  <si>
    <t>NEQB</t>
  </si>
  <si>
    <t>Patrick Mahomes</t>
  </si>
  <si>
    <t>KCQB</t>
  </si>
  <si>
    <t>Christian McCaffrey</t>
  </si>
  <si>
    <t>SFRB</t>
  </si>
  <si>
    <t>LVWR</t>
  </si>
  <si>
    <t>Travis Kelce</t>
  </si>
  <si>
    <t>KCTE</t>
  </si>
  <si>
    <t>DeVonta Smith</t>
  </si>
  <si>
    <t>Tyler Bass</t>
  </si>
  <si>
    <t>Justin Herbert</t>
  </si>
  <si>
    <t>LACQB</t>
  </si>
  <si>
    <t>Jonathan Taylor</t>
  </si>
  <si>
    <t>Davante Adams</t>
  </si>
  <si>
    <t>Courtland Sutton</t>
  </si>
  <si>
    <t>49ers D/ST</t>
  </si>
  <si>
    <t>SFD/ST</t>
  </si>
  <si>
    <t>George Kittle</t>
  </si>
  <si>
    <t>SFTE</t>
  </si>
  <si>
    <t>J.K. Dobbins</t>
  </si>
  <si>
    <t>GBWR</t>
  </si>
  <si>
    <t>GBRB</t>
  </si>
  <si>
    <t>Lamar Jackson</t>
  </si>
  <si>
    <t>LACRB</t>
  </si>
  <si>
    <t>TBRB</t>
  </si>
  <si>
    <t>Tee Higgins</t>
  </si>
  <si>
    <t>Jerry Jeudy</t>
  </si>
  <si>
    <t>LVTE</t>
  </si>
  <si>
    <t>LARRB</t>
  </si>
  <si>
    <t>Hunter Henry</t>
  </si>
  <si>
    <t>NETE</t>
  </si>
  <si>
    <t>Kyler Murray</t>
  </si>
  <si>
    <t>Ja'Marr Chase</t>
  </si>
  <si>
    <t>Mike Evans</t>
  </si>
  <si>
    <t>T.J. Hockenson</t>
  </si>
  <si>
    <t>Evan McPherson</t>
  </si>
  <si>
    <t>Drake London</t>
  </si>
  <si>
    <t>Trevor Lawrence</t>
  </si>
  <si>
    <t>Team Name</t>
  </si>
  <si>
    <t>Team/Pos</t>
  </si>
  <si>
    <t>Team</t>
  </si>
  <si>
    <t>Pos</t>
  </si>
  <si>
    <t>LAR</t>
  </si>
  <si>
    <t>NYJ</t>
  </si>
  <si>
    <t>LAC</t>
  </si>
  <si>
    <t>Projected</t>
  </si>
  <si>
    <t>Steelers D/ST</t>
  </si>
  <si>
    <t>Bengals D/ST</t>
  </si>
  <si>
    <t>Jared Goff</t>
  </si>
  <si>
    <t>TBK</t>
  </si>
  <si>
    <t>Week</t>
  </si>
  <si>
    <t>LARD/ST</t>
  </si>
  <si>
    <t>NYJTE</t>
  </si>
  <si>
    <t>Missed Points</t>
  </si>
  <si>
    <t>Points by Non-Drafted Starters</t>
  </si>
  <si>
    <t>Pos Rank</t>
  </si>
  <si>
    <t>Ideal Points</t>
  </si>
  <si>
    <t>Actual Points</t>
  </si>
  <si>
    <t>Points Missed</t>
  </si>
  <si>
    <t>Averages by Team</t>
  </si>
  <si>
    <t>Vikings D/ST</t>
  </si>
  <si>
    <t>Tyler Allgeier</t>
  </si>
  <si>
    <t>Jaguars D/ST</t>
  </si>
  <si>
    <t>Broncos D/ST</t>
  </si>
  <si>
    <t>Brian Robinson Jr.</t>
  </si>
  <si>
    <t>NOTE</t>
  </si>
  <si>
    <t>Kenneth Walker III</t>
  </si>
  <si>
    <t>Geno Smith</t>
  </si>
  <si>
    <t>Wan'Dale Robinson</t>
  </si>
  <si>
    <t>NYGWR</t>
  </si>
  <si>
    <t>Patriots D/ST</t>
  </si>
  <si>
    <t>NED/ST</t>
  </si>
  <si>
    <t>Isiah Pacheco</t>
  </si>
  <si>
    <t>Daniel Jones</t>
  </si>
  <si>
    <t>NYGQB</t>
  </si>
  <si>
    <t>Juwan Johnson</t>
  </si>
  <si>
    <t>George Pickens</t>
  </si>
  <si>
    <t>Player</t>
  </si>
  <si>
    <t>Chiefs D/ST</t>
  </si>
  <si>
    <t>KCD/ST</t>
  </si>
  <si>
    <t>Romeo Doubs</t>
  </si>
  <si>
    <t>Isaiah Likely</t>
  </si>
  <si>
    <t>Starting Player</t>
  </si>
  <si>
    <t>Samaje Perine</t>
  </si>
  <si>
    <t>Rachaad White</t>
  </si>
  <si>
    <t>Christian Watson</t>
  </si>
  <si>
    <t>Kyren Williams</t>
  </si>
  <si>
    <t>NYJQB</t>
  </si>
  <si>
    <t>Seahawks D/ST</t>
  </si>
  <si>
    <t>Possible Points</t>
  </si>
  <si>
    <t>Rank</t>
  </si>
  <si>
    <t>Team 1</t>
  </si>
  <si>
    <t>Team 2</t>
  </si>
  <si>
    <t>T1 Points</t>
  </si>
  <si>
    <t>T2 Points</t>
  </si>
  <si>
    <t>Total Points</t>
  </si>
  <si>
    <t>Wins</t>
  </si>
  <si>
    <t>Losses</t>
  </si>
  <si>
    <t>East</t>
  </si>
  <si>
    <t>W</t>
  </si>
  <si>
    <t>L</t>
  </si>
  <si>
    <t>PCT</t>
  </si>
  <si>
    <t>West</t>
  </si>
  <si>
    <t>Round</t>
  </si>
  <si>
    <t>Jake Ferguson</t>
  </si>
  <si>
    <t>Bijan Robinson</t>
  </si>
  <si>
    <t>Jaxon Smith-Njigba</t>
  </si>
  <si>
    <t>Zach Charbonnet</t>
  </si>
  <si>
    <t>Dalton Kincaid</t>
  </si>
  <si>
    <t>Calvin Ridley</t>
  </si>
  <si>
    <t>Jordan Addison</t>
  </si>
  <si>
    <t>Brock Purdy</t>
  </si>
  <si>
    <t>Quentin Johnston</t>
  </si>
  <si>
    <t>Jaylen Warren</t>
  </si>
  <si>
    <t>Zay Flowers</t>
  </si>
  <si>
    <t>Jahmyr Gibbs</t>
  </si>
  <si>
    <t>Caleb Williams</t>
  </si>
  <si>
    <t>Tank Dell</t>
  </si>
  <si>
    <t>Marvin Harrison Jr.</t>
  </si>
  <si>
    <t>Blake Corum</t>
  </si>
  <si>
    <t>Chuba Hubbard</t>
  </si>
  <si>
    <t>C.J. Stroud</t>
  </si>
  <si>
    <t>Puka Nacua</t>
  </si>
  <si>
    <t>Sam LaPorta</t>
  </si>
  <si>
    <t>Tyjae Spears</t>
  </si>
  <si>
    <t>Chig Okonkwo</t>
  </si>
  <si>
    <t>Brian Thomas Jr.</t>
  </si>
  <si>
    <t>Chase Brown</t>
  </si>
  <si>
    <t>Xavier Worthy</t>
  </si>
  <si>
    <t>Adonai Mitchell</t>
  </si>
  <si>
    <t>Michael Wilson</t>
  </si>
  <si>
    <t>Malik Nabers</t>
  </si>
  <si>
    <t>Deebo Samuel Sr.</t>
  </si>
  <si>
    <t>Rashee Rice</t>
  </si>
  <si>
    <t>De'Von Achane</t>
  </si>
  <si>
    <t>Nico Collins</t>
  </si>
  <si>
    <t>Rome Odunze</t>
  </si>
  <si>
    <t>Brock Bowers</t>
  </si>
  <si>
    <t>Rashid Shaheed</t>
  </si>
  <si>
    <t>Bryce Young</t>
  </si>
  <si>
    <t>Bucky Irving</t>
  </si>
  <si>
    <t>Jayden Daniels</t>
  </si>
  <si>
    <t>Jake Bates</t>
  </si>
  <si>
    <t>Jayden Reed</t>
  </si>
  <si>
    <t>MarShawn Lloyd</t>
  </si>
  <si>
    <t>Jonathon Brooks</t>
  </si>
  <si>
    <t>Lions D/ST</t>
  </si>
  <si>
    <t>Brandon Aubrey</t>
  </si>
  <si>
    <t>Rico Dowdle</t>
  </si>
  <si>
    <t>Trey McBride</t>
  </si>
  <si>
    <t>Jordan Mason</t>
  </si>
  <si>
    <t>Ka'imi Fairbairn</t>
  </si>
  <si>
    <t>Jordan Love</t>
  </si>
  <si>
    <t>Jameson Williams</t>
  </si>
  <si>
    <t>Khalil Shakir</t>
  </si>
  <si>
    <t>Cameron Dicker</t>
  </si>
  <si>
    <t>LACK</t>
  </si>
  <si>
    <t>Ladd McConkey</t>
  </si>
  <si>
    <t>Sam Darnold</t>
  </si>
  <si>
    <t>Baker Mayfield</t>
  </si>
  <si>
    <t>Demarcus Robinson</t>
  </si>
  <si>
    <t>Chris Boswell</t>
  </si>
  <si>
    <t>Alec Pierce</t>
  </si>
  <si>
    <t>Jalen Nailor</t>
  </si>
  <si>
    <t>Jauan Jennings</t>
  </si>
  <si>
    <t>Chase McLaughlin</t>
  </si>
  <si>
    <t>Emanuel Wilson</t>
  </si>
  <si>
    <t>Dontayvion Wicks</t>
  </si>
  <si>
    <t>Will Reichard</t>
  </si>
  <si>
    <t>Tucker Kraft</t>
  </si>
  <si>
    <t>GBTE</t>
  </si>
  <si>
    <t>Josh Downs</t>
  </si>
  <si>
    <t>Tre Tucker</t>
  </si>
  <si>
    <t>Texans D/ST</t>
  </si>
  <si>
    <t>Jungle Drummer</t>
  </si>
  <si>
    <t>Lemieuse-bouche sais quoi</t>
  </si>
  <si>
    <t>Non-Drafted Player</t>
  </si>
  <si>
    <t>Drake Maye</t>
  </si>
  <si>
    <t>Jalen McMillan</t>
  </si>
  <si>
    <t>Bo Nix</t>
  </si>
  <si>
    <t>NO.</t>
  </si>
  <si>
    <t>Overall</t>
  </si>
  <si>
    <t>Projection</t>
  </si>
  <si>
    <t>Actual</t>
  </si>
  <si>
    <t>BYE</t>
  </si>
  <si>
    <t>Paced</t>
  </si>
  <si>
    <t>Dif</t>
  </si>
  <si>
    <t>INJ</t>
  </si>
  <si>
    <t>INJ Value</t>
  </si>
  <si>
    <t>Byes</t>
  </si>
  <si>
    <t>MoV</t>
  </si>
  <si>
    <t>MoD</t>
  </si>
  <si>
    <t>Proportion T1</t>
  </si>
  <si>
    <t>Proportion T2</t>
  </si>
  <si>
    <t>Opp Prop</t>
  </si>
  <si>
    <t>Weighted INJ</t>
  </si>
  <si>
    <t>Luck Rating</t>
  </si>
  <si>
    <t>Jalen Coker</t>
  </si>
  <si>
    <t>NYGD/ST</t>
  </si>
  <si>
    <t>Cairo Santos</t>
  </si>
  <si>
    <t>Rashod Bateman</t>
  </si>
  <si>
    <t>Manager Rating</t>
  </si>
  <si>
    <t>BUF</t>
  </si>
  <si>
    <t>PHI</t>
  </si>
  <si>
    <t>DAL</t>
  </si>
  <si>
    <t>HOU</t>
  </si>
  <si>
    <t>MIA</t>
  </si>
  <si>
    <t>DET</t>
  </si>
  <si>
    <t>CAR</t>
  </si>
  <si>
    <t>BAL</t>
  </si>
  <si>
    <t>IND</t>
  </si>
  <si>
    <t>SEA</t>
  </si>
  <si>
    <t>MIN</t>
  </si>
  <si>
    <t>DEN</t>
  </si>
  <si>
    <t>ATL</t>
  </si>
  <si>
    <t>CHI</t>
  </si>
  <si>
    <t>TEN</t>
  </si>
  <si>
    <t>CIN</t>
  </si>
  <si>
    <t>PIT</t>
  </si>
  <si>
    <t>ARI</t>
  </si>
  <si>
    <t>CLE</t>
  </si>
  <si>
    <t>Darren Waller</t>
  </si>
  <si>
    <t>Michael Mayer</t>
  </si>
  <si>
    <t>NYGTE</t>
  </si>
  <si>
    <t>GBK</t>
  </si>
  <si>
    <t>Jason Myers</t>
  </si>
  <si>
    <t>Projection_Starters</t>
  </si>
  <si>
    <t>your friendly fantasy despot</t>
  </si>
  <si>
    <t>Please Let Me Win IDK what 2 do</t>
  </si>
  <si>
    <t>Ashton Jeanty</t>
  </si>
  <si>
    <t>TreVeyon Henderson</t>
  </si>
  <si>
    <t>Matthew Golden</t>
  </si>
  <si>
    <t>Chris Godwin Jr.</t>
  </si>
  <si>
    <t>Emeka Egbuka</t>
  </si>
  <si>
    <t>Andy Borregales</t>
  </si>
  <si>
    <t>Omarion Hampton</t>
  </si>
  <si>
    <t>Tetairoa McMillan</t>
  </si>
  <si>
    <t>Aaron Jones Sr.</t>
  </si>
  <si>
    <t>RJ Harvey</t>
  </si>
  <si>
    <t>Travis Hunter</t>
  </si>
  <si>
    <t>Jacory Croskey-Merritt</t>
  </si>
  <si>
    <t>Tyler Warren</t>
  </si>
  <si>
    <t>Colston Loveland</t>
  </si>
  <si>
    <t>Kyle Pitts Sr.</t>
  </si>
  <si>
    <t>Cam Skattebo</t>
  </si>
  <si>
    <t>Quinshon Judkins</t>
  </si>
  <si>
    <t>Bhayshul Tuten</t>
  </si>
  <si>
    <t>Luther Burden III</t>
  </si>
  <si>
    <t>Cam Little</t>
  </si>
  <si>
    <t>Tyler Loop</t>
  </si>
  <si>
    <t>NEK</t>
  </si>
  <si>
    <t>Woody Marks</t>
  </si>
  <si>
    <t>Harold Fannin Jr.</t>
  </si>
  <si>
    <t>Kayshon Boutte</t>
  </si>
  <si>
    <t>Kyle Monangai</t>
  </si>
  <si>
    <t>Drafted Player</t>
  </si>
  <si>
    <t>Ideal Starting Player</t>
  </si>
  <si>
    <t>Undrafted Points</t>
  </si>
  <si>
    <t>Undrafted Players</t>
  </si>
  <si>
    <t>Coaching Efficiency</t>
  </si>
  <si>
    <t>LVQB</t>
  </si>
  <si>
    <t>Parker Washington</t>
  </si>
  <si>
    <t>the medical tent apparently</t>
  </si>
  <si>
    <t>Weeks</t>
  </si>
  <si>
    <t>Jaxson Dart</t>
  </si>
  <si>
    <t>Malik Washington</t>
  </si>
  <si>
    <t>LARK</t>
  </si>
  <si>
    <t>James Cook III</t>
  </si>
  <si>
    <t>PHIWR</t>
  </si>
  <si>
    <t>ARIRB</t>
  </si>
  <si>
    <t>SEARB</t>
  </si>
  <si>
    <t>MIAWR</t>
  </si>
  <si>
    <t>PITRB</t>
  </si>
  <si>
    <t>DENRB</t>
  </si>
  <si>
    <t>INDWR</t>
  </si>
  <si>
    <t>DALTE</t>
  </si>
  <si>
    <t>BALD/ST</t>
  </si>
  <si>
    <t>WSH</t>
  </si>
  <si>
    <t>JAXWR</t>
  </si>
  <si>
    <t>JAX</t>
  </si>
  <si>
    <t>INDRB</t>
  </si>
  <si>
    <t>CHIWR</t>
  </si>
  <si>
    <t>DETWR</t>
  </si>
  <si>
    <t>INDTE</t>
  </si>
  <si>
    <t>MINRB</t>
  </si>
  <si>
    <t>CHIQB</t>
  </si>
  <si>
    <t>HOUWR</t>
  </si>
  <si>
    <t>Rams D/ST</t>
  </si>
  <si>
    <t>PHIRB</t>
  </si>
  <si>
    <t>DENWR</t>
  </si>
  <si>
    <t>TENWR</t>
  </si>
  <si>
    <t>PITD/ST</t>
  </si>
  <si>
    <t>DETQB</t>
  </si>
  <si>
    <t>CLERB</t>
  </si>
  <si>
    <t>CINRB</t>
  </si>
  <si>
    <t>PITWR</t>
  </si>
  <si>
    <t>DALWR</t>
  </si>
  <si>
    <t>WSHRB</t>
  </si>
  <si>
    <t>MIARB</t>
  </si>
  <si>
    <t>HOUD/ST</t>
  </si>
  <si>
    <t>ATLRB</t>
  </si>
  <si>
    <t>CINWR</t>
  </si>
  <si>
    <t>ARIWR</t>
  </si>
  <si>
    <t>SEAWR</t>
  </si>
  <si>
    <t>PHITE</t>
  </si>
  <si>
    <t>TENRB</t>
  </si>
  <si>
    <t>WSHTE</t>
  </si>
  <si>
    <t>BUFK</t>
  </si>
  <si>
    <t>SEAK</t>
  </si>
  <si>
    <t>WSHWR</t>
  </si>
  <si>
    <t>DETK</t>
  </si>
  <si>
    <t>SEAD/ST</t>
  </si>
  <si>
    <t>CARRB</t>
  </si>
  <si>
    <t>JAXQB</t>
  </si>
  <si>
    <t>MINWR</t>
  </si>
  <si>
    <t>BALQB</t>
  </si>
  <si>
    <t>BALWR</t>
  </si>
  <si>
    <t>BUFWR</t>
  </si>
  <si>
    <t>DALRB</t>
  </si>
  <si>
    <t>MINQB</t>
  </si>
  <si>
    <t>ATLTE</t>
  </si>
  <si>
    <t>DETD/ST</t>
  </si>
  <si>
    <t>BALK</t>
  </si>
  <si>
    <t>ATLWR</t>
  </si>
  <si>
    <t>WSHQB</t>
  </si>
  <si>
    <t>CARWR</t>
  </si>
  <si>
    <t>BALTE</t>
  </si>
  <si>
    <t>PITTE</t>
  </si>
  <si>
    <t>BUFQB</t>
  </si>
  <si>
    <t>MINTE</t>
  </si>
  <si>
    <t>HOUK</t>
  </si>
  <si>
    <t>PHID/ST</t>
  </si>
  <si>
    <t>CARQB</t>
  </si>
  <si>
    <t>@Lemieuse-bouche sais quoi</t>
  </si>
  <si>
    <t>BUFRB</t>
  </si>
  <si>
    <t>CHIRB</t>
  </si>
  <si>
    <t>CLEWR</t>
  </si>
  <si>
    <t>DALQB</t>
  </si>
  <si>
    <t>BUFTE</t>
  </si>
  <si>
    <t>JAXRB</t>
  </si>
  <si>
    <t>Packers D/ST</t>
  </si>
  <si>
    <t>ARITE</t>
  </si>
  <si>
    <t>DETRB</t>
  </si>
  <si>
    <t>DENQB</t>
  </si>
  <si>
    <t>HOURB</t>
  </si>
  <si>
    <t>JAXK</t>
  </si>
  <si>
    <t>@your friendly fantasy despot</t>
  </si>
  <si>
    <t>CHITE</t>
  </si>
  <si>
    <t>CHIK</t>
  </si>
  <si>
    <t>MIND/ST</t>
  </si>
  <si>
    <t>PHIQB</t>
  </si>
  <si>
    <t>DETTE</t>
  </si>
  <si>
    <t>PITK</t>
  </si>
  <si>
    <t>CINQB</t>
  </si>
  <si>
    <t>BALRB</t>
  </si>
  <si>
    <t>CLETE</t>
  </si>
  <si>
    <t>DALK</t>
  </si>
  <si>
    <t>DEND/ST</t>
  </si>
  <si>
    <t>HOUQB</t>
  </si>
  <si>
    <t>@the medical tent apparently</t>
  </si>
  <si>
    <t>MINK</t>
  </si>
  <si>
    <t>@Jungle Drummer</t>
  </si>
  <si>
    <t>INDQB</t>
  </si>
  <si>
    <t>@Please Let Me Win IDK what 2 do</t>
  </si>
  <si>
    <t>Chargers D/ST</t>
  </si>
  <si>
    <t>HOUTE</t>
  </si>
  <si>
    <t>Giants D/ST</t>
  </si>
  <si>
    <t>SEAQB</t>
  </si>
  <si>
    <t>JAXD/ST</t>
  </si>
  <si>
    <t>LACTE</t>
  </si>
  <si>
    <t>SFK</t>
  </si>
  <si>
    <t>Eddy Pineiro</t>
  </si>
  <si>
    <t>Chris Rodriguez Jr.</t>
  </si>
  <si>
    <t>Devaughn Vele</t>
  </si>
  <si>
    <t>Chris Brooks</t>
  </si>
  <si>
    <t>Harrison Mevis</t>
  </si>
  <si>
    <t>CINK</t>
  </si>
  <si>
    <t>Mack Hollins</t>
  </si>
  <si>
    <t>Oronde Gadsden</t>
  </si>
  <si>
    <t>LARTE</t>
  </si>
  <si>
    <t>NOQB</t>
  </si>
  <si>
    <t>Tyler Shough</t>
  </si>
  <si>
    <t>Picken Dis Nose</t>
  </si>
  <si>
    <t>W 128.26-82.8</t>
  </si>
  <si>
    <t>L 82.8-128.26</t>
  </si>
  <si>
    <t>Jordyn Tyson</t>
  </si>
  <si>
    <t>Caleb Douglas</t>
  </si>
  <si>
    <t>The Strib Club</t>
  </si>
  <si>
    <t>Shough and pray</t>
  </si>
  <si>
    <t>L 88.46-151.6</t>
  </si>
  <si>
    <t>De'Zhaun Stribling</t>
  </si>
  <si>
    <t>Denzel Boston</t>
  </si>
  <si>
    <t>Cyrus Allen</t>
  </si>
  <si>
    <t>@The Strib Club</t>
  </si>
  <si>
    <t>W 151.6-88.46</t>
  </si>
  <si>
    <t>Jonah Coleman</t>
  </si>
  <si>
    <t>Malachi Fields</t>
  </si>
  <si>
    <t>Pleading the Fifth Down</t>
  </si>
  <si>
    <t>L 136.64-144.5</t>
  </si>
  <si>
    <t>Kenny Gainwell</t>
  </si>
  <si>
    <t>@Pleading the Fifth Down</t>
  </si>
  <si>
    <t>W 144.5-136.64</t>
  </si>
  <si>
    <t>I'm At My Limit</t>
  </si>
  <si>
    <t>Puka bit my finger</t>
  </si>
  <si>
    <t>W 111.0-80.56</t>
  </si>
  <si>
    <t>CARTE</t>
  </si>
  <si>
    <t>@I'm At My Limit</t>
  </si>
  <si>
    <t>L 80.56-111.0</t>
  </si>
  <si>
    <t>W 122.52-87.26</t>
  </si>
  <si>
    <t>L 87.26-122.52</t>
  </si>
  <si>
    <t>Carnell Tate</t>
  </si>
  <si>
    <t>Makai Lemon</t>
  </si>
  <si>
    <t>Terrance Ferguson</t>
  </si>
  <si>
    <t>pretty good team</t>
  </si>
  <si>
    <t>W 137.48-110.4</t>
  </si>
  <si>
    <t>Jadarian Price</t>
  </si>
  <si>
    <t>L 110.4-137.48</t>
  </si>
  <si>
    <t>KC Concepcion</t>
  </si>
  <si>
    <t>Juwan's Big Johnson</t>
  </si>
  <si>
    <t>W 144.16-90.82</t>
  </si>
  <si>
    <t>@Juwan's Big Johnson</t>
  </si>
  <si>
    <t>L 90.82-144.16</t>
  </si>
  <si>
    <t>Jeremiyah Love</t>
  </si>
  <si>
    <t>Mike Washington Jr.</t>
  </si>
  <si>
    <t>W 135.18-113.1</t>
  </si>
  <si>
    <t>Emmett Johnson</t>
  </si>
  <si>
    <t>@Shough and pray</t>
  </si>
  <si>
    <t>L 113.1-135.18</t>
  </si>
  <si>
    <t>L 79.58-102.04</t>
  </si>
  <si>
    <t>Kaelon Black</t>
  </si>
  <si>
    <t>@Puka bit my finger</t>
  </si>
  <si>
    <t>W 102.04-79.58</t>
  </si>
  <si>
    <t>L 92.3-120.88</t>
  </si>
  <si>
    <t>W 120.88-92.3</t>
  </si>
  <si>
    <t>L 56.16-110.82</t>
  </si>
  <si>
    <t>@pretty good team</t>
  </si>
  <si>
    <t>W 110.82-56.16</t>
  </si>
  <si>
    <t>L 108.06-110.52</t>
  </si>
  <si>
    <t>W 110.52-108.06</t>
  </si>
  <si>
    <t>W 131.28-95.78</t>
  </si>
  <si>
    <t>Antonio Williams</t>
  </si>
  <si>
    <t>L 95.78-131.28</t>
  </si>
  <si>
    <t>L 92.62-116.92</t>
  </si>
  <si>
    <t>W 116.92-92.62</t>
  </si>
  <si>
    <t>W 129.28-94.84</t>
  </si>
  <si>
    <t>L 94.84-129.28</t>
  </si>
  <si>
    <t>W 130.4-107.38</t>
  </si>
  <si>
    <t>L 107.38-130.4</t>
  </si>
  <si>
    <t>W 151.58-114.72</t>
  </si>
  <si>
    <t>L 114.72-151.58</t>
  </si>
  <si>
    <t>CIND/ST</t>
  </si>
  <si>
    <t>W 93.18-85.64</t>
  </si>
  <si>
    <t>L 85.64-93.18</t>
  </si>
  <si>
    <t>Trey Smack</t>
  </si>
  <si>
    <t>Eli Heidenreich</t>
  </si>
  <si>
    <t>L 90.48-117.24</t>
  </si>
  <si>
    <t>Kenyon Sadiq</t>
  </si>
  <si>
    <t>@Picken Dis Nose</t>
  </si>
  <si>
    <t>W 117.24-90.48</t>
  </si>
  <si>
    <t>L 80.06-123.7</t>
  </si>
  <si>
    <t>W 123.7-80.06</t>
  </si>
  <si>
    <t>Xavier Hutchinson</t>
  </si>
  <si>
    <t>W 112.44-81.06</t>
  </si>
  <si>
    <t>L 81.06-112.44</t>
  </si>
  <si>
    <t>Coach Carlt</t>
  </si>
  <si>
    <t>Jordan Tyson</t>
  </si>
  <si>
    <t>Will Reicherd</t>
  </si>
  <si>
    <t>Browns D/ST</t>
  </si>
  <si>
    <t>Lions</t>
  </si>
  <si>
    <t>Falcons</t>
  </si>
  <si>
    <t>Bengals</t>
  </si>
  <si>
    <t>Rams</t>
  </si>
  <si>
    <t>Bills</t>
  </si>
  <si>
    <t>Colts</t>
  </si>
  <si>
    <t>Seahawks</t>
  </si>
  <si>
    <t>49ers</t>
  </si>
  <si>
    <t>Vikings</t>
  </si>
  <si>
    <t>Cowboys</t>
  </si>
  <si>
    <t>Eagles</t>
  </si>
  <si>
    <t>Chargers</t>
  </si>
  <si>
    <t>Ravens</t>
  </si>
  <si>
    <t>Dolphins</t>
  </si>
  <si>
    <t>Cardinals</t>
  </si>
  <si>
    <t>Texans</t>
  </si>
  <si>
    <t>Chiefs</t>
  </si>
  <si>
    <t>Raiders</t>
  </si>
  <si>
    <t>Patriots</t>
  </si>
  <si>
    <t>Jets</t>
  </si>
  <si>
    <t>Saints</t>
  </si>
  <si>
    <t>Buccaneers</t>
  </si>
  <si>
    <t>Jaguars</t>
  </si>
  <si>
    <t>Browns</t>
  </si>
  <si>
    <t>Giants</t>
  </si>
  <si>
    <t>Panthers</t>
  </si>
  <si>
    <t>Commanders</t>
  </si>
  <si>
    <t>Bears</t>
  </si>
  <si>
    <t>Broncos</t>
  </si>
  <si>
    <t>Steelers</t>
  </si>
  <si>
    <t>Titans</t>
  </si>
  <si>
    <t>Packers</t>
  </si>
  <si>
    <t>@Coach Carlt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</si>
</sst>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_(* #,##0_);_(* \(#,##0\);_(* &quot;-&quot;??_);_(@_)"/>
    <numFmt numFmtId="166" formatCode="0.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454545"/>
      <name val="Courier New"/>
      <family val="1"/>
    </font>
    <font>
      <sz val="16"/>
      <color rgb="FF1E1E1E"/>
      <name val="Helvetica Neue"/>
      <family val="2"/>
    </font>
    <font>
      <sz val="15"/>
      <color rgb="FF333333"/>
      <name val="Arial"/>
      <family val="2"/>
    </font>
    <font>
      <sz val="12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2" fillId="0" borderId="0" xfId="0" applyFont="1"/>
    <xf numFmtId="2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1" fontId="0" fillId="0" borderId="0" xfId="0" applyNumberFormat="1"/>
    <xf numFmtId="165" fontId="0" fillId="0" borderId="0" xfId="2" applyNumberFormat="1" applyFont="1"/>
    <xf numFmtId="9" fontId="0" fillId="0" borderId="0" xfId="1" applyFont="1"/>
    <xf numFmtId="0" fontId="0" fillId="2" borderId="0" xfId="0" applyFill="1"/>
    <xf numFmtId="165" fontId="0" fillId="0" borderId="0" xfId="0" applyNumberFormat="1"/>
    <xf numFmtId="43" fontId="0" fillId="0" borderId="0" xfId="2" applyFont="1"/>
    <xf numFmtId="9" fontId="0" fillId="0" borderId="0" xfId="0" applyNumberFormat="1"/>
    <xf numFmtId="43" fontId="0" fillId="0" borderId="0" xfId="0" applyNumberFormat="1"/>
    <xf numFmtId="0" fontId="7" fillId="3" borderId="0" xfId="0" applyFont="1" applyFill="1"/>
    <xf numFmtId="166" fontId="0" fillId="0" borderId="0" xfId="0" applyNumberFormat="1"/>
    <xf numFmtId="2" fontId="0" fillId="0" borderId="0" xfId="1" applyNumberFormat="1" applyFont="1"/>
    <xf numFmtId="0" fontId="8" fillId="4" borderId="1" xfId="0" applyFont="1" applyFill="1" applyBorder="1"/>
    <xf numFmtId="0" fontId="8" fillId="4" borderId="2" xfId="0" applyFont="1" applyFill="1" applyBorder="1"/>
    <xf numFmtId="0" fontId="0" fillId="0" borderId="1" xfId="0" applyBorder="1"/>
    <xf numFmtId="0" fontId="0" fillId="0" borderId="3" xfId="0" applyBorder="1"/>
    <xf numFmtId="0" fontId="8" fillId="4" borderId="5" xfId="0" applyFont="1" applyFill="1" applyBorder="1"/>
    <xf numFmtId="2" fontId="0" fillId="0" borderId="2" xfId="0" applyNumberFormat="1" applyBorder="1"/>
    <xf numFmtId="9" fontId="0" fillId="0" borderId="2" xfId="1" applyFont="1" applyBorder="1"/>
    <xf numFmtId="165" fontId="0" fillId="0" borderId="2" xfId="2" applyNumberFormat="1" applyFont="1" applyBorder="1"/>
    <xf numFmtId="2" fontId="0" fillId="0" borderId="2" xfId="1" applyNumberFormat="1" applyFont="1" applyBorder="1"/>
    <xf numFmtId="2" fontId="0" fillId="0" borderId="4" xfId="0" applyNumberFormat="1" applyBorder="1"/>
    <xf numFmtId="9" fontId="0" fillId="0" borderId="4" xfId="1" applyFont="1" applyBorder="1"/>
    <xf numFmtId="165" fontId="0" fillId="0" borderId="4" xfId="2" applyNumberFormat="1" applyFont="1" applyBorder="1"/>
    <xf numFmtId="9" fontId="0" fillId="0" borderId="5" xfId="1" applyFont="1" applyBorder="1"/>
    <xf numFmtId="9" fontId="0" fillId="0" borderId="6" xfId="1" applyFont="1" applyBorder="1"/>
  </cellXfs>
  <cellStyles count="3">
    <cellStyle name="Comma" xfId="2" builtinId="3"/>
    <cellStyle name="Normal" xfId="0" builtinId="0"/>
    <cellStyle name="Percent" xfId="1" builtinId="5"/>
  </cellStyles>
  <dxfs count="32">
    <dxf>
      <numFmt numFmtId="13" formatCode="0%"/>
    </dxf>
    <dxf>
      <numFmt numFmtId="13" formatCode="0%"/>
    </dxf>
    <dxf>
      <numFmt numFmtId="13" formatCode="0%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(* #,##0_);_(* \(#,##0\);_(* &quot;-&quot;??_);_(@_)"/>
    </dxf>
    <dxf>
      <numFmt numFmtId="165" formatCode="_(* #,##0_);_(* \(#,##0\);_(* &quot;-&quot;??_);_(@_)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Joshua Kugel" id="{5743CF30-49A9-074C-B923-99617D729BEC}" userId="c667485cf7864ba2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5B3AC1-999B-A844-B95A-57005414D876}" name="Table1" displayName="Table1" ref="J2:AC16" totalsRowShown="0">
  <autoFilter ref="J2:AC16" xr:uid="{9F5B3AC1-999B-A844-B95A-57005414D876}"/>
  <sortState xmlns:xlrd2="http://schemas.microsoft.com/office/spreadsheetml/2017/richdata2" ref="J3:AC16">
    <sortCondition descending="1" ref="AB2:AB16"/>
  </sortState>
  <tableColumns count="20">
    <tableColumn id="1" xr3:uid="{A0185D2F-079E-AA45-905B-AB150A43068A}" name="Team"/>
    <tableColumn id="2" xr3:uid="{63049F06-F5A4-894F-8EC4-75A52A1629F5}" name="Possible Points" dataDxfId="17">
      <calculatedColumnFormula>AVERAGEIF($A$2:$A$1000,J3,$C$2:$C$1000)</calculatedColumnFormula>
    </tableColumn>
    <tableColumn id="3" xr3:uid="{0F170C74-482C-624B-8ACC-59B4D08FE3CE}" name="Actual Points" dataDxfId="16">
      <calculatedColumnFormula>AVERAGEIF($A$2:$A$1000,Table1[[#This Row],[Team]],$D$2:$D$1000)</calculatedColumnFormula>
    </tableColumn>
    <tableColumn id="4" xr3:uid="{07D5710F-A4FC-804A-8D64-C4591A6AF3DF}" name="Points Missed" dataDxfId="15">
      <calculatedColumnFormula>AVERAGEIF($A$2:$A$1000,Table1[[#This Row],[Team]],$E$2:$E$1000)</calculatedColumnFormula>
    </tableColumn>
    <tableColumn id="21" xr3:uid="{40C3B155-D15C-D840-B4FC-397651226EEC}" name="Coaching Efficiency" dataCellStyle="Percent">
      <calculatedColumnFormula>Table1[[#This Row],[Actual Points]]/Table1[[#This Row],[Possible Points]]</calculatedColumnFormula>
    </tableColumn>
    <tableColumn id="5" xr3:uid="{DCA6B471-6530-274A-A4AF-E6138ABA5A89}" name="Undrafted Players" dataDxfId="14">
      <calculatedColumnFormula>AVERAGEIF($A$2:$A$1000,Table1[[#This Row],[Team]],$F$2:$F$1000)</calculatedColumnFormula>
    </tableColumn>
    <tableColumn id="6" xr3:uid="{73B511FE-045F-944E-85EC-DB1AA47C7B7C}" name="Undrafted Points" dataDxfId="13">
      <calculatedColumnFormula>AVERAGEIF($A$2:$A$1000,Table1[[#This Row],[Team]],$G$2:$G$1000)</calculatedColumnFormula>
    </tableColumn>
    <tableColumn id="8" xr3:uid="{609829D9-8813-8D4E-9C33-B0E677960883}" name="Projection" dataDxfId="12" dataCellStyle="Comma">
      <calculatedColumnFormula>_xlfn.XLOOKUP(Table1[[#This Row],[Team]],'Draft Recap'!$S$2:$S$15,'Draft Recap'!T$2:T$15)</calculatedColumnFormula>
    </tableColumn>
    <tableColumn id="20" xr3:uid="{28EB6028-898E-D14F-BB74-DE62C223DE96}" name="Projection_Starters" dataDxfId="11" dataCellStyle="Comma"/>
    <tableColumn id="9" xr3:uid="{98E7C2E6-C670-BC42-89B9-5A04BEF86448}" name="Actual" dataDxfId="10" dataCellStyle="Comma">
      <calculatedColumnFormula>_xlfn.XLOOKUP(Table1[[#This Row],[Team]],'Draft Recap'!$S$2:$S$15,'Draft Recap'!U$2:U$15)</calculatedColumnFormula>
    </tableColumn>
    <tableColumn id="10" xr3:uid="{0F827853-7A95-464E-B917-9CA687E7195A}" name="Byes" dataDxfId="9" dataCellStyle="Comma">
      <calculatedColumnFormula>_xlfn.XLOOKUP(Table1[[#This Row],[Team]],'Draft Recap'!$S$2:$S$15,'Draft Recap'!V$2:V$15)</calculatedColumnFormula>
    </tableColumn>
    <tableColumn id="11" xr3:uid="{59057FDC-E945-C343-AFE2-0CD593121FC7}" name="Paced" dataDxfId="8" dataCellStyle="Comma">
      <calculatedColumnFormula>_xlfn.XLOOKUP(Table1[[#This Row],[Team]],'Draft Recap'!$S$2:$S$15,'Draft Recap'!W$2:W$15)</calculatedColumnFormula>
    </tableColumn>
    <tableColumn id="12" xr3:uid="{85583CAB-5AE0-264F-89E1-EF20190B29B6}" name="Dif" dataDxfId="7" dataCellStyle="Comma">
      <calculatedColumnFormula>_xlfn.XLOOKUP(Table1[[#This Row],[Team]],'Draft Recap'!$S$2:$S$15,'Draft Recap'!X$2:X$15)</calculatedColumnFormula>
    </tableColumn>
    <tableColumn id="13" xr3:uid="{701EC34A-725F-EA43-B550-0BC37F8B4292}" name="INJ" dataDxfId="6" dataCellStyle="Comma">
      <calculatedColumnFormula>_xlfn.XLOOKUP(Table1[[#This Row],[Team]],'Draft Recap'!$S$2:$S$15,'Draft Recap'!Y$2:Y$15)</calculatedColumnFormula>
    </tableColumn>
    <tableColumn id="14" xr3:uid="{826CB422-ACEE-AA4F-8BEC-5E7D74814AD4}" name="Weighted INJ" dataDxfId="5" dataCellStyle="Comma">
      <calculatedColumnFormula>_xlfn.XLOOKUP(Table1[[#This Row],[Team]],'Draft Recap'!$S$2:$S$15,'Draft Recap'!Z$2:Z$15)</calculatedColumnFormula>
    </tableColumn>
    <tableColumn id="15" xr3:uid="{422E24BD-3A2F-404A-B5DA-CAD7AA218392}" name="MoV" dataDxfId="4" dataCellStyle="Comma">
      <calculatedColumnFormula>_xlfn.XLOOKUP(Table1[[#This Row],[Team]],'Draft Recap'!$S$2:$S$15,'Draft Recap'!AA$2:AA$15)</calculatedColumnFormula>
    </tableColumn>
    <tableColumn id="16" xr3:uid="{1C5F7ADA-501F-7B41-8BC5-9F12B3EE95CB}" name="MoD" dataDxfId="3" dataCellStyle="Comma">
      <calculatedColumnFormula>_xlfn.XLOOKUP(Table1[[#This Row],[Team]],'Draft Recap'!$S$2:$S$15,'Draft Recap'!AB$2:AB$15)</calculatedColumnFormula>
    </tableColumn>
    <tableColumn id="17" xr3:uid="{B14ADECC-66E6-4743-B1BB-1657612A2573}" name="Opp Prop" dataDxfId="2" dataCellStyle="Percent">
      <calculatedColumnFormula>_xlfn.XLOOKUP(Table1[[#This Row],[Team]],'Draft Recap'!$S$2:$S$15,'Draft Recap'!AC$2:AC$15)</calculatedColumnFormula>
    </tableColumn>
    <tableColumn id="18" xr3:uid="{DFCC7918-C9AF-8E4E-A0B3-195A61F28654}" name="Luck Rating" dataDxfId="1" dataCellStyle="Percent">
      <calculatedColumnFormula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calculatedColumnFormula>
    </tableColumn>
    <tableColumn id="19" xr3:uid="{C301F1EF-9B8C-F746-B201-91161333A07C}" name="Manager Rating" dataDxfId="0" dataCellStyle="Percent">
      <calculatedColumnFormula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6CC312-BBA7-B045-83CB-EACB186030B0}" name="Table2" displayName="Table2" ref="L2:P9" totalsRowShown="0">
  <autoFilter ref="L2:P9" xr:uid="{EE6CC312-BBA7-B045-83CB-EACB186030B0}"/>
  <sortState xmlns:xlrd2="http://schemas.microsoft.com/office/spreadsheetml/2017/richdata2" ref="L3:P9">
    <sortCondition descending="1" ref="P2:P9"/>
  </sortState>
  <tableColumns count="5">
    <tableColumn id="1" xr3:uid="{737B65EC-1C75-F848-AE43-D9194F5A0991}" name="Rank">
      <calculatedColumnFormula>L2+1</calculatedColumnFormula>
    </tableColumn>
    <tableColumn id="2" xr3:uid="{2A4DA825-88ED-634E-B5A0-3783F41167CF}" name="Team"/>
    <tableColumn id="3" xr3:uid="{F11A87AA-3733-5C45-8CD4-64E550D63AA3}" name="W"/>
    <tableColumn id="4" xr3:uid="{48E8ADDD-A738-B748-AA9D-5CD38284169B}" name="L"/>
    <tableColumn id="5" xr3:uid="{CCB8225C-EADE-BC4F-9D0D-DEDFD1F9B572}" name="PCT" dataDxfId="31">
      <calculatedColumnFormula>N3/SUM(N3,O3)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57C7E0D-C1F9-5442-BCD8-6DF8A61691F7}" name="Table3" displayName="Table3" ref="R2:V9" totalsRowShown="0">
  <autoFilter ref="R2:V9" xr:uid="{557C7E0D-C1F9-5442-BCD8-6DF8A61691F7}"/>
  <sortState xmlns:xlrd2="http://schemas.microsoft.com/office/spreadsheetml/2017/richdata2" ref="R3:V9">
    <sortCondition descending="1" ref="V2:V9"/>
  </sortState>
  <tableColumns count="5">
    <tableColumn id="1" xr3:uid="{C8C56383-BC36-7C41-8545-A51812DEDBC5}" name="Rank">
      <calculatedColumnFormula>R2+1</calculatedColumnFormula>
    </tableColumn>
    <tableColumn id="2" xr3:uid="{074A8F0A-B308-B140-A407-27DE2352AA6E}" name="Team"/>
    <tableColumn id="3" xr3:uid="{A9E61CD1-E466-3047-AC4C-D9653FC79AD1}" name="W">
      <calculatedColumnFormula>VLOOKUP(Table3[[#This Row],[Team]],$H$2:$J$15,2,FALSE)</calculatedColumnFormula>
    </tableColumn>
    <tableColumn id="4" xr3:uid="{CC54F5AE-863F-834E-9034-85396946AA0E}" name="L">
      <calculatedColumnFormula>VLOOKUP(Table3[[#This Row],[Team]],$H$2:$J$15,3,FALSE)</calculatedColumnFormula>
    </tableColumn>
    <tableColumn id="5" xr3:uid="{49917041-77C4-AF43-9F9E-A28FF012C5DD}" name="PCT" dataDxfId="30">
      <calculatedColumnFormula>T3/SUM(T3,U3)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225BC18-3574-9B44-A81C-8693473A6EF6}" name="Table26" displayName="Table26" ref="P2:T9" totalsRowShown="0">
  <autoFilter ref="P2:T9" xr:uid="{EE6CC312-BBA7-B045-83CB-EACB186030B0}"/>
  <sortState xmlns:xlrd2="http://schemas.microsoft.com/office/spreadsheetml/2017/richdata2" ref="P3:T9">
    <sortCondition descending="1" ref="T2:T9"/>
  </sortState>
  <tableColumns count="5">
    <tableColumn id="1" xr3:uid="{23932993-0E3C-8A47-90B0-39E13B014B8E}" name="Rank" dataDxfId="29"/>
    <tableColumn id="2" xr3:uid="{58059F13-7267-1141-A6E1-F25334C7B3E4}" name="Team"/>
    <tableColumn id="3" xr3:uid="{E5A72108-FC33-3347-B218-C88AA47BF9B5}" name="W" dataDxfId="28">
      <calculatedColumnFormula>VLOOKUP(Table26[[#This Row],[Team]],$L$2:$N$15,2,FALSE)</calculatedColumnFormula>
    </tableColumn>
    <tableColumn id="4" xr3:uid="{3D62AC58-A076-3A4E-8D05-26761E7CF837}" name="L" dataDxfId="27">
      <calculatedColumnFormula>VLOOKUP(Table26[[#This Row],[Team]],$L$2:$N$15,3,FALSE)</calculatedColumnFormula>
    </tableColumn>
    <tableColumn id="5" xr3:uid="{17CDACFF-0128-1244-8CA0-7A7513D31E65}" name="PCT" dataDxfId="26">
      <calculatedColumnFormula>R3/SUM(R3,S3)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F38EC94-8302-4843-A8D6-8AEE1444A0A5}" name="Table37" displayName="Table37" ref="V2:Z9" totalsRowShown="0">
  <autoFilter ref="V2:Z9" xr:uid="{557C7E0D-C1F9-5442-BCD8-6DF8A61691F7}"/>
  <sortState xmlns:xlrd2="http://schemas.microsoft.com/office/spreadsheetml/2017/richdata2" ref="V3:Z9">
    <sortCondition descending="1" ref="Z2:Z9"/>
  </sortState>
  <tableColumns count="5">
    <tableColumn id="1" xr3:uid="{C2E430C4-D03A-A24E-958C-B836A32F610A}" name="Rank" dataDxfId="25"/>
    <tableColumn id="2" xr3:uid="{2C922A05-4200-6045-BBB0-C0511A0A67D7}" name="Team"/>
    <tableColumn id="3" xr3:uid="{7CCF628C-1ABC-9145-B58D-8C1DB0108B33}" name="W" dataDxfId="24">
      <calculatedColumnFormula>VLOOKUP(Table37[[#This Row],[Team]],$L$2:$N$15,2,FALSE)</calculatedColumnFormula>
    </tableColumn>
    <tableColumn id="4" xr3:uid="{CB5363C9-89D4-ED45-90D9-C7A14F16B1F0}" name="L" dataDxfId="23">
      <calculatedColumnFormula>VLOOKUP(Table37[[#This Row],[Team]],$L$2:$N$15,3,FALSE)</calculatedColumnFormula>
    </tableColumn>
    <tableColumn id="5" xr3:uid="{51F94E89-7D70-964C-91AB-5000E14831B3}" name="PCT" dataDxfId="22">
      <calculatedColumnFormula>X3/SUM(X3,Y3)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" dT="2025-12-11T03:39:57.20" personId="{5743CF30-49A9-074C-B923-99617D729BEC}" id="{A1554DD3-4E3D-8442-A71C-93A1D5AF1B06}">
    <text>Adjusted to scale for pick position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1" dT="2025-12-11T03:39:57.20" personId="{5743CF30-49A9-074C-B923-99617D729BEC}" id="{A3469B97-672D-CF43-9FA4-C7F23D999A3D}">
    <text>Adjusted to scale for pick position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C5418-1443-CC46-BA16-517600AD2A42}">
  <sheetPr codeName="Sheet1"/>
  <dimension ref="A1:K1796"/>
  <sheetViews>
    <sheetView workbookViewId="0">
      <selection activeCell="B2" sqref="B2"/>
    </sheetView>
  </sheetViews>
  <sheetFormatPr baseColWidth="10" defaultRowHeight="16" x14ac:dyDescent="0.2"/>
  <cols>
    <col min="1" max="1" width="8.33203125" customWidth="1"/>
    <col min="2" max="2" width="29.6640625" bestFit="1" customWidth="1"/>
    <col min="3" max="3" width="12" bestFit="1" customWidth="1"/>
    <col min="4" max="4" width="6.5" bestFit="1" customWidth="1"/>
    <col min="5" max="5" width="8.33203125" bestFit="1" customWidth="1"/>
    <col min="6" max="6" width="7.83203125" bestFit="1" customWidth="1"/>
    <col min="7" max="7" width="19.6640625" bestFit="1" customWidth="1"/>
    <col min="8" max="8" width="7" bestFit="1" customWidth="1"/>
    <col min="9" max="9" width="10.1640625" bestFit="1" customWidth="1"/>
    <col min="10" max="10" width="11.33203125" bestFit="1" customWidth="1"/>
    <col min="11" max="11" width="7.6640625" bestFit="1" customWidth="1"/>
    <col min="12" max="12" width="10.6640625" bestFit="1" customWidth="1"/>
  </cols>
  <sheetData>
    <row r="1" spans="1:11" x14ac:dyDescent="0.2">
      <c r="A1" t="s">
        <v>131</v>
      </c>
      <c r="B1" t="s">
        <v>119</v>
      </c>
      <c r="C1" t="s">
        <v>120</v>
      </c>
      <c r="D1" t="s">
        <v>122</v>
      </c>
      <c r="E1" t="s">
        <v>121</v>
      </c>
      <c r="F1" t="s">
        <v>0</v>
      </c>
      <c r="G1" t="s">
        <v>158</v>
      </c>
      <c r="H1" t="s">
        <v>1</v>
      </c>
      <c r="I1" t="s">
        <v>2</v>
      </c>
      <c r="J1" t="s">
        <v>126</v>
      </c>
      <c r="K1" t="s">
        <v>3</v>
      </c>
    </row>
    <row r="2" spans="1:11" x14ac:dyDescent="0.2">
      <c r="A2">
        <v>1</v>
      </c>
      <c r="B2" t="s">
        <v>545</v>
      </c>
      <c r="C2" t="s">
        <v>361</v>
      </c>
      <c r="D2" t="s">
        <v>5</v>
      </c>
      <c r="E2" t="s">
        <v>291</v>
      </c>
      <c r="F2" t="s">
        <v>5</v>
      </c>
      <c r="G2" t="s">
        <v>93</v>
      </c>
      <c r="H2" t="s">
        <v>463</v>
      </c>
      <c r="I2" t="s">
        <v>464</v>
      </c>
      <c r="J2" s="6">
        <v>16.27</v>
      </c>
      <c r="K2" s="6">
        <v>23.6</v>
      </c>
    </row>
    <row r="3" spans="1:11" x14ac:dyDescent="0.2">
      <c r="A3">
        <v>1</v>
      </c>
      <c r="B3" t="s">
        <v>545</v>
      </c>
      <c r="C3" t="s">
        <v>108</v>
      </c>
      <c r="D3" t="s">
        <v>9</v>
      </c>
      <c r="E3" t="s">
        <v>55</v>
      </c>
      <c r="F3" t="s">
        <v>16</v>
      </c>
      <c r="G3" t="s">
        <v>218</v>
      </c>
      <c r="H3" t="s">
        <v>463</v>
      </c>
      <c r="I3" t="s">
        <v>464</v>
      </c>
      <c r="J3" s="6">
        <v>0</v>
      </c>
      <c r="K3" s="6">
        <v>0</v>
      </c>
    </row>
    <row r="4" spans="1:11" x14ac:dyDescent="0.2">
      <c r="A4">
        <v>1</v>
      </c>
      <c r="B4" t="s">
        <v>545</v>
      </c>
      <c r="C4" t="s">
        <v>37</v>
      </c>
      <c r="D4" t="s">
        <v>5</v>
      </c>
      <c r="E4" t="s">
        <v>34</v>
      </c>
      <c r="F4" t="s">
        <v>5</v>
      </c>
      <c r="G4" t="s">
        <v>32</v>
      </c>
      <c r="H4" t="s">
        <v>463</v>
      </c>
      <c r="I4" t="s">
        <v>464</v>
      </c>
      <c r="J4" s="6">
        <v>13.5</v>
      </c>
      <c r="K4" s="6">
        <v>11.3</v>
      </c>
    </row>
    <row r="5" spans="1:11" x14ac:dyDescent="0.2">
      <c r="A5">
        <v>1</v>
      </c>
      <c r="B5" t="s">
        <v>545</v>
      </c>
      <c r="C5" t="s">
        <v>362</v>
      </c>
      <c r="D5" t="s">
        <v>6</v>
      </c>
      <c r="E5" t="s">
        <v>296</v>
      </c>
      <c r="F5" t="s">
        <v>6</v>
      </c>
      <c r="G5" t="s">
        <v>217</v>
      </c>
      <c r="H5" t="s">
        <v>463</v>
      </c>
      <c r="I5" t="s">
        <v>464</v>
      </c>
      <c r="J5" s="6">
        <v>10.65</v>
      </c>
      <c r="K5" s="6">
        <v>6.2</v>
      </c>
    </row>
    <row r="6" spans="1:11" x14ac:dyDescent="0.2">
      <c r="A6">
        <v>1</v>
      </c>
      <c r="B6" t="s">
        <v>545</v>
      </c>
      <c r="C6" t="s">
        <v>405</v>
      </c>
      <c r="D6" t="s">
        <v>4</v>
      </c>
      <c r="E6" t="s">
        <v>358</v>
      </c>
      <c r="F6" t="s">
        <v>4</v>
      </c>
      <c r="G6" t="s">
        <v>222</v>
      </c>
      <c r="H6" t="s">
        <v>463</v>
      </c>
      <c r="I6" t="s">
        <v>464</v>
      </c>
      <c r="J6" s="6">
        <v>16.84</v>
      </c>
      <c r="K6" s="6">
        <v>17.66</v>
      </c>
    </row>
    <row r="7" spans="1:11" x14ac:dyDescent="0.2">
      <c r="A7">
        <v>1</v>
      </c>
      <c r="B7" t="s">
        <v>545</v>
      </c>
      <c r="C7" t="s">
        <v>376</v>
      </c>
      <c r="D7" t="s">
        <v>6</v>
      </c>
      <c r="E7" t="s">
        <v>299</v>
      </c>
      <c r="F7" t="s">
        <v>6</v>
      </c>
      <c r="G7" t="s">
        <v>39</v>
      </c>
      <c r="H7" t="s">
        <v>463</v>
      </c>
      <c r="I7" t="s">
        <v>464</v>
      </c>
      <c r="J7" s="6">
        <v>9.73</v>
      </c>
      <c r="K7" s="6">
        <v>7.3</v>
      </c>
    </row>
    <row r="8" spans="1:11" x14ac:dyDescent="0.2">
      <c r="A8">
        <v>1</v>
      </c>
      <c r="B8" t="s">
        <v>545</v>
      </c>
      <c r="C8" t="s">
        <v>371</v>
      </c>
      <c r="D8" t="s">
        <v>6</v>
      </c>
      <c r="E8" t="s">
        <v>297</v>
      </c>
      <c r="F8" t="s">
        <v>11</v>
      </c>
      <c r="G8" t="s">
        <v>149</v>
      </c>
      <c r="H8" t="s">
        <v>463</v>
      </c>
      <c r="I8" t="s">
        <v>464</v>
      </c>
      <c r="J8" s="6">
        <v>8.11</v>
      </c>
      <c r="K8" s="6">
        <v>6.3</v>
      </c>
    </row>
    <row r="9" spans="1:11" x14ac:dyDescent="0.2">
      <c r="A9">
        <v>1</v>
      </c>
      <c r="B9" t="s">
        <v>545</v>
      </c>
      <c r="C9" t="s">
        <v>416</v>
      </c>
      <c r="D9" t="s">
        <v>5</v>
      </c>
      <c r="E9" t="s">
        <v>296</v>
      </c>
      <c r="F9" t="s">
        <v>11</v>
      </c>
      <c r="G9" t="s">
        <v>335</v>
      </c>
      <c r="H9" t="s">
        <v>463</v>
      </c>
      <c r="I9" t="s">
        <v>464</v>
      </c>
      <c r="J9" s="6">
        <v>9.5</v>
      </c>
      <c r="K9" s="6">
        <v>19.399999999999999</v>
      </c>
    </row>
    <row r="10" spans="1:11" x14ac:dyDescent="0.2">
      <c r="A10">
        <v>1</v>
      </c>
      <c r="B10" t="s">
        <v>545</v>
      </c>
      <c r="C10" t="s">
        <v>398</v>
      </c>
      <c r="D10" t="s">
        <v>6</v>
      </c>
      <c r="E10" t="s">
        <v>283</v>
      </c>
      <c r="F10" t="s">
        <v>16</v>
      </c>
      <c r="G10" t="s">
        <v>235</v>
      </c>
      <c r="H10" t="s">
        <v>463</v>
      </c>
      <c r="I10" t="s">
        <v>464</v>
      </c>
      <c r="J10" s="6">
        <v>7.45</v>
      </c>
      <c r="K10" s="6">
        <v>7</v>
      </c>
    </row>
    <row r="11" spans="1:11" x14ac:dyDescent="0.2">
      <c r="A11">
        <v>1</v>
      </c>
      <c r="B11" t="s">
        <v>545</v>
      </c>
      <c r="C11" t="s">
        <v>386</v>
      </c>
      <c r="D11" t="s">
        <v>5</v>
      </c>
      <c r="E11" t="s">
        <v>297</v>
      </c>
      <c r="F11" t="s">
        <v>16</v>
      </c>
      <c r="G11" t="s">
        <v>205</v>
      </c>
      <c r="H11" t="s">
        <v>463</v>
      </c>
      <c r="I11" t="s">
        <v>464</v>
      </c>
      <c r="J11" s="6">
        <v>7.93</v>
      </c>
      <c r="K11" s="6">
        <v>3.4</v>
      </c>
    </row>
    <row r="12" spans="1:11" x14ac:dyDescent="0.2">
      <c r="A12">
        <v>1</v>
      </c>
      <c r="B12" t="s">
        <v>545</v>
      </c>
      <c r="C12" t="s">
        <v>372</v>
      </c>
      <c r="D12" t="s">
        <v>12</v>
      </c>
      <c r="E12" t="s">
        <v>299</v>
      </c>
      <c r="F12" t="s">
        <v>12</v>
      </c>
      <c r="G12" t="s">
        <v>127</v>
      </c>
      <c r="H12" t="s">
        <v>463</v>
      </c>
      <c r="I12" t="s">
        <v>464</v>
      </c>
      <c r="J12" s="6">
        <v>7.22</v>
      </c>
      <c r="K12" s="6">
        <v>19</v>
      </c>
    </row>
    <row r="13" spans="1:11" x14ac:dyDescent="0.2">
      <c r="A13">
        <v>1</v>
      </c>
      <c r="B13" t="s">
        <v>545</v>
      </c>
      <c r="C13" t="s">
        <v>439</v>
      </c>
      <c r="D13" t="s">
        <v>4</v>
      </c>
      <c r="E13" t="s">
        <v>286</v>
      </c>
      <c r="F13" t="s">
        <v>16</v>
      </c>
      <c r="G13" t="s">
        <v>202</v>
      </c>
      <c r="H13" t="s">
        <v>463</v>
      </c>
      <c r="I13" t="s">
        <v>464</v>
      </c>
      <c r="J13" s="6">
        <v>16.23</v>
      </c>
      <c r="K13" s="6">
        <v>16.46</v>
      </c>
    </row>
    <row r="14" spans="1:11" x14ac:dyDescent="0.2">
      <c r="A14">
        <v>1</v>
      </c>
      <c r="B14" t="s">
        <v>545</v>
      </c>
      <c r="C14" t="s">
        <v>446</v>
      </c>
      <c r="D14" t="s">
        <v>9</v>
      </c>
      <c r="E14" t="s">
        <v>286</v>
      </c>
      <c r="F14" t="s">
        <v>9</v>
      </c>
      <c r="G14" t="s">
        <v>40</v>
      </c>
      <c r="H14" t="s">
        <v>463</v>
      </c>
      <c r="I14" t="s">
        <v>464</v>
      </c>
      <c r="J14" s="6">
        <v>6.54</v>
      </c>
      <c r="K14" s="6">
        <v>5.5</v>
      </c>
    </row>
    <row r="15" spans="1:11" x14ac:dyDescent="0.2">
      <c r="A15">
        <v>1</v>
      </c>
      <c r="B15" t="s">
        <v>545</v>
      </c>
      <c r="C15" t="s">
        <v>429</v>
      </c>
      <c r="D15" t="s">
        <v>13</v>
      </c>
      <c r="E15" t="s">
        <v>296</v>
      </c>
      <c r="F15" t="s">
        <v>13</v>
      </c>
      <c r="G15" t="s">
        <v>280</v>
      </c>
      <c r="H15" t="s">
        <v>463</v>
      </c>
      <c r="I15" t="s">
        <v>464</v>
      </c>
      <c r="J15" s="6">
        <v>8.2899999999999991</v>
      </c>
      <c r="K15" s="6">
        <v>12</v>
      </c>
    </row>
    <row r="16" spans="1:11" x14ac:dyDescent="0.2">
      <c r="A16">
        <v>1</v>
      </c>
      <c r="B16" t="s">
        <v>463</v>
      </c>
      <c r="C16" t="s">
        <v>382</v>
      </c>
      <c r="D16" t="s">
        <v>6</v>
      </c>
      <c r="E16" t="s">
        <v>298</v>
      </c>
      <c r="F16" t="s">
        <v>6</v>
      </c>
      <c r="G16" t="s">
        <v>113</v>
      </c>
      <c r="H16" t="s">
        <v>581</v>
      </c>
      <c r="I16" t="s">
        <v>465</v>
      </c>
      <c r="J16" s="6">
        <v>16.440000000000001</v>
      </c>
      <c r="K16" s="6">
        <v>2.2000000000000002</v>
      </c>
    </row>
    <row r="17" spans="1:11" x14ac:dyDescent="0.2">
      <c r="A17">
        <v>1</v>
      </c>
      <c r="B17" t="s">
        <v>463</v>
      </c>
      <c r="C17" t="s">
        <v>18</v>
      </c>
      <c r="D17" t="s">
        <v>5</v>
      </c>
      <c r="E17" t="s">
        <v>124</v>
      </c>
      <c r="F17" t="s">
        <v>5</v>
      </c>
      <c r="G17" t="s">
        <v>17</v>
      </c>
      <c r="H17" t="s">
        <v>581</v>
      </c>
      <c r="I17" t="s">
        <v>465</v>
      </c>
      <c r="J17" s="6">
        <v>14.97</v>
      </c>
      <c r="K17" s="6">
        <v>18.8</v>
      </c>
    </row>
    <row r="18" spans="1:11" x14ac:dyDescent="0.2">
      <c r="A18">
        <v>1</v>
      </c>
      <c r="B18" t="s">
        <v>463</v>
      </c>
      <c r="C18" t="s">
        <v>377</v>
      </c>
      <c r="D18" t="s">
        <v>6</v>
      </c>
      <c r="E18" t="s">
        <v>285</v>
      </c>
      <c r="F18" t="s">
        <v>6</v>
      </c>
      <c r="G18" t="s">
        <v>157</v>
      </c>
      <c r="H18" t="s">
        <v>581</v>
      </c>
      <c r="I18" t="s">
        <v>465</v>
      </c>
      <c r="J18" s="6">
        <v>12.22</v>
      </c>
      <c r="K18" s="6">
        <v>4.3</v>
      </c>
    </row>
    <row r="19" spans="1:11" x14ac:dyDescent="0.2">
      <c r="A19">
        <v>1</v>
      </c>
      <c r="B19" t="s">
        <v>463</v>
      </c>
      <c r="C19" t="s">
        <v>370</v>
      </c>
      <c r="D19" t="s">
        <v>6</v>
      </c>
      <c r="E19" t="s">
        <v>294</v>
      </c>
      <c r="F19" t="s">
        <v>11</v>
      </c>
      <c r="G19" t="s">
        <v>68</v>
      </c>
      <c r="H19" t="s">
        <v>581</v>
      </c>
      <c r="I19" t="s">
        <v>465</v>
      </c>
      <c r="J19" s="6">
        <v>9.9600000000000009</v>
      </c>
      <c r="K19" s="6">
        <v>0.7</v>
      </c>
    </row>
    <row r="20" spans="1:11" x14ac:dyDescent="0.2">
      <c r="A20">
        <v>1</v>
      </c>
      <c r="B20" t="s">
        <v>463</v>
      </c>
      <c r="C20" t="s">
        <v>61</v>
      </c>
      <c r="D20" t="s">
        <v>5</v>
      </c>
      <c r="E20" t="s">
        <v>62</v>
      </c>
      <c r="F20" t="s">
        <v>11</v>
      </c>
      <c r="G20" t="s">
        <v>311</v>
      </c>
      <c r="H20" t="s">
        <v>581</v>
      </c>
      <c r="I20" t="s">
        <v>465</v>
      </c>
      <c r="J20" s="6">
        <v>0</v>
      </c>
      <c r="K20" s="6">
        <v>0</v>
      </c>
    </row>
    <row r="21" spans="1:11" x14ac:dyDescent="0.2">
      <c r="A21">
        <v>1</v>
      </c>
      <c r="B21" t="s">
        <v>463</v>
      </c>
      <c r="C21" t="s">
        <v>353</v>
      </c>
      <c r="D21" t="s">
        <v>5</v>
      </c>
      <c r="E21" t="s">
        <v>299</v>
      </c>
      <c r="F21" t="s">
        <v>5</v>
      </c>
      <c r="G21" t="s">
        <v>229</v>
      </c>
      <c r="H21" t="s">
        <v>581</v>
      </c>
      <c r="I21" t="s">
        <v>465</v>
      </c>
      <c r="J21" s="6">
        <v>11.65</v>
      </c>
      <c r="K21" s="6">
        <v>3.1</v>
      </c>
    </row>
    <row r="22" spans="1:11" x14ac:dyDescent="0.2">
      <c r="A22">
        <v>1</v>
      </c>
      <c r="B22" t="s">
        <v>463</v>
      </c>
      <c r="C22" t="s">
        <v>109</v>
      </c>
      <c r="D22" t="s">
        <v>5</v>
      </c>
      <c r="E22" t="s">
        <v>123</v>
      </c>
      <c r="F22" t="s">
        <v>11</v>
      </c>
      <c r="G22" t="s">
        <v>200</v>
      </c>
      <c r="H22" t="s">
        <v>581</v>
      </c>
      <c r="I22" t="s">
        <v>465</v>
      </c>
      <c r="J22" s="6">
        <v>8.8800000000000008</v>
      </c>
      <c r="K22" s="6">
        <v>5.4</v>
      </c>
    </row>
    <row r="23" spans="1:11" x14ac:dyDescent="0.2">
      <c r="A23">
        <v>1</v>
      </c>
      <c r="B23" t="s">
        <v>463</v>
      </c>
      <c r="C23" t="s">
        <v>79</v>
      </c>
      <c r="D23" t="s">
        <v>6</v>
      </c>
      <c r="E23" t="s">
        <v>62</v>
      </c>
      <c r="F23" t="s">
        <v>16</v>
      </c>
      <c r="G23" t="s">
        <v>161</v>
      </c>
      <c r="H23" t="s">
        <v>581</v>
      </c>
      <c r="I23" t="s">
        <v>465</v>
      </c>
      <c r="J23" s="6">
        <v>6.64</v>
      </c>
      <c r="K23" s="6">
        <v>0</v>
      </c>
    </row>
    <row r="24" spans="1:11" x14ac:dyDescent="0.2">
      <c r="A24">
        <v>1</v>
      </c>
      <c r="B24" t="s">
        <v>463</v>
      </c>
      <c r="C24" t="s">
        <v>101</v>
      </c>
      <c r="D24" t="s">
        <v>6</v>
      </c>
      <c r="E24" t="s">
        <v>24</v>
      </c>
      <c r="F24" t="s">
        <v>16</v>
      </c>
      <c r="G24" t="s">
        <v>224</v>
      </c>
      <c r="H24" t="s">
        <v>581</v>
      </c>
      <c r="I24" t="s">
        <v>465</v>
      </c>
      <c r="J24" s="6">
        <v>8.14</v>
      </c>
      <c r="K24" s="6">
        <v>3.5</v>
      </c>
    </row>
    <row r="25" spans="1:11" x14ac:dyDescent="0.2">
      <c r="A25">
        <v>1</v>
      </c>
      <c r="B25" t="s">
        <v>463</v>
      </c>
      <c r="C25" t="s">
        <v>48</v>
      </c>
      <c r="D25" t="s">
        <v>6</v>
      </c>
      <c r="E25" t="s">
        <v>34</v>
      </c>
      <c r="F25" t="s">
        <v>11</v>
      </c>
      <c r="G25" t="s">
        <v>466</v>
      </c>
      <c r="H25" t="s">
        <v>581</v>
      </c>
      <c r="I25" t="s">
        <v>465</v>
      </c>
      <c r="J25" s="6">
        <v>0</v>
      </c>
      <c r="K25" s="6">
        <v>0</v>
      </c>
    </row>
    <row r="26" spans="1:11" x14ac:dyDescent="0.2">
      <c r="A26">
        <v>1</v>
      </c>
      <c r="B26" t="s">
        <v>463</v>
      </c>
      <c r="C26" t="s">
        <v>19</v>
      </c>
      <c r="D26" t="s">
        <v>4</v>
      </c>
      <c r="E26" t="s">
        <v>52</v>
      </c>
      <c r="F26" t="s">
        <v>4</v>
      </c>
      <c r="G26" t="s">
        <v>192</v>
      </c>
      <c r="H26" t="s">
        <v>581</v>
      </c>
      <c r="I26" t="s">
        <v>465</v>
      </c>
      <c r="J26" s="6">
        <v>15.48</v>
      </c>
      <c r="K26" s="6">
        <v>21.1</v>
      </c>
    </row>
    <row r="27" spans="1:11" x14ac:dyDescent="0.2">
      <c r="A27">
        <v>1</v>
      </c>
      <c r="B27" t="s">
        <v>463</v>
      </c>
      <c r="C27" t="s">
        <v>387</v>
      </c>
      <c r="D27" t="s">
        <v>9</v>
      </c>
      <c r="E27" t="s">
        <v>358</v>
      </c>
      <c r="F27" t="s">
        <v>16</v>
      </c>
      <c r="G27" t="s">
        <v>206</v>
      </c>
      <c r="H27" t="s">
        <v>581</v>
      </c>
      <c r="I27" t="s">
        <v>465</v>
      </c>
      <c r="J27" s="6">
        <v>5.28</v>
      </c>
      <c r="K27" s="6">
        <v>2.6</v>
      </c>
    </row>
    <row r="28" spans="1:11" x14ac:dyDescent="0.2">
      <c r="A28">
        <v>1</v>
      </c>
      <c r="B28" t="s">
        <v>463</v>
      </c>
      <c r="C28" t="s">
        <v>15</v>
      </c>
      <c r="D28" t="s">
        <v>13</v>
      </c>
      <c r="E28" t="s">
        <v>25</v>
      </c>
      <c r="F28" t="s">
        <v>13</v>
      </c>
      <c r="G28" t="s">
        <v>14</v>
      </c>
      <c r="H28" t="s">
        <v>581</v>
      </c>
      <c r="I28" t="s">
        <v>465</v>
      </c>
      <c r="J28" s="6">
        <v>8.51</v>
      </c>
      <c r="K28" s="6">
        <v>7</v>
      </c>
    </row>
    <row r="29" spans="1:11" x14ac:dyDescent="0.2">
      <c r="A29">
        <v>1</v>
      </c>
      <c r="B29" t="s">
        <v>463</v>
      </c>
      <c r="C29" t="s">
        <v>352</v>
      </c>
      <c r="D29" t="s">
        <v>6</v>
      </c>
      <c r="E29" t="s">
        <v>287</v>
      </c>
      <c r="F29" t="s">
        <v>16</v>
      </c>
      <c r="G29" t="s">
        <v>467</v>
      </c>
      <c r="H29" t="s">
        <v>581</v>
      </c>
      <c r="I29" t="s">
        <v>465</v>
      </c>
      <c r="J29" s="6">
        <v>6.09</v>
      </c>
      <c r="K29" s="6">
        <v>11.9</v>
      </c>
    </row>
    <row r="30" spans="1:11" x14ac:dyDescent="0.2">
      <c r="A30">
        <v>1</v>
      </c>
      <c r="B30" t="s">
        <v>463</v>
      </c>
      <c r="C30" t="s">
        <v>449</v>
      </c>
      <c r="D30" t="s">
        <v>12</v>
      </c>
      <c r="E30" t="s">
        <v>360</v>
      </c>
      <c r="F30" t="s">
        <v>12</v>
      </c>
      <c r="G30" t="s">
        <v>143</v>
      </c>
      <c r="H30" t="s">
        <v>581</v>
      </c>
      <c r="I30" t="s">
        <v>465</v>
      </c>
      <c r="J30" s="6">
        <v>8.2100000000000009</v>
      </c>
      <c r="K30" s="6">
        <v>14</v>
      </c>
    </row>
    <row r="31" spans="1:11" x14ac:dyDescent="0.2">
      <c r="A31">
        <v>1</v>
      </c>
      <c r="B31" t="s">
        <v>463</v>
      </c>
      <c r="C31" t="s">
        <v>108</v>
      </c>
      <c r="D31" t="s">
        <v>9</v>
      </c>
      <c r="E31" t="s">
        <v>55</v>
      </c>
      <c r="F31" t="s">
        <v>9</v>
      </c>
      <c r="G31" t="s">
        <v>303</v>
      </c>
      <c r="H31" t="s">
        <v>581</v>
      </c>
      <c r="I31" t="s">
        <v>465</v>
      </c>
      <c r="J31" s="6">
        <v>7.34</v>
      </c>
      <c r="K31" s="6">
        <v>6.2</v>
      </c>
    </row>
    <row r="32" spans="1:11" x14ac:dyDescent="0.2">
      <c r="A32">
        <v>1</v>
      </c>
      <c r="B32" t="s">
        <v>468</v>
      </c>
      <c r="C32" t="s">
        <v>415</v>
      </c>
      <c r="D32" t="s">
        <v>5</v>
      </c>
      <c r="E32" t="s">
        <v>283</v>
      </c>
      <c r="F32" t="s">
        <v>5</v>
      </c>
      <c r="G32" t="s">
        <v>348</v>
      </c>
      <c r="H32" t="s">
        <v>469</v>
      </c>
      <c r="I32" t="s">
        <v>470</v>
      </c>
      <c r="J32" s="6">
        <v>14.62</v>
      </c>
      <c r="K32" s="6">
        <v>8.4</v>
      </c>
    </row>
    <row r="33" spans="1:11" x14ac:dyDescent="0.2">
      <c r="A33">
        <v>1</v>
      </c>
      <c r="B33" t="s">
        <v>468</v>
      </c>
      <c r="C33" t="s">
        <v>409</v>
      </c>
      <c r="D33" t="s">
        <v>4</v>
      </c>
      <c r="E33" t="s">
        <v>283</v>
      </c>
      <c r="F33" t="s">
        <v>4</v>
      </c>
      <c r="G33" t="s">
        <v>49</v>
      </c>
      <c r="H33" t="s">
        <v>469</v>
      </c>
      <c r="I33" t="s">
        <v>470</v>
      </c>
      <c r="J33" s="6">
        <v>19.32</v>
      </c>
      <c r="K33" s="6">
        <v>35.659999999999997</v>
      </c>
    </row>
    <row r="34" spans="1:11" x14ac:dyDescent="0.2">
      <c r="A34">
        <v>1</v>
      </c>
      <c r="B34" t="s">
        <v>468</v>
      </c>
      <c r="C34" t="s">
        <v>349</v>
      </c>
      <c r="D34" t="s">
        <v>6</v>
      </c>
      <c r="E34" t="s">
        <v>284</v>
      </c>
      <c r="F34" t="s">
        <v>6</v>
      </c>
      <c r="G34" t="s">
        <v>89</v>
      </c>
      <c r="H34" t="s">
        <v>469</v>
      </c>
      <c r="I34" t="s">
        <v>470</v>
      </c>
      <c r="J34" s="6">
        <v>12.16</v>
      </c>
      <c r="K34" s="6">
        <v>6.8</v>
      </c>
    </row>
    <row r="35" spans="1:11" x14ac:dyDescent="0.2">
      <c r="A35">
        <v>1</v>
      </c>
      <c r="B35" t="s">
        <v>468</v>
      </c>
      <c r="C35" t="s">
        <v>428</v>
      </c>
      <c r="D35" t="s">
        <v>9</v>
      </c>
      <c r="E35" t="s">
        <v>296</v>
      </c>
      <c r="F35" t="s">
        <v>9</v>
      </c>
      <c r="G35" t="s">
        <v>323</v>
      </c>
      <c r="H35" t="s">
        <v>469</v>
      </c>
      <c r="I35" t="s">
        <v>470</v>
      </c>
      <c r="J35" s="6">
        <v>9.67</v>
      </c>
      <c r="K35" s="6">
        <v>0</v>
      </c>
    </row>
    <row r="36" spans="1:11" x14ac:dyDescent="0.2">
      <c r="A36">
        <v>1</v>
      </c>
      <c r="B36" t="s">
        <v>468</v>
      </c>
      <c r="C36" t="s">
        <v>61</v>
      </c>
      <c r="D36" t="s">
        <v>5</v>
      </c>
      <c r="E36" t="s">
        <v>62</v>
      </c>
      <c r="F36" t="s">
        <v>5</v>
      </c>
      <c r="G36" t="s">
        <v>60</v>
      </c>
      <c r="H36" t="s">
        <v>469</v>
      </c>
      <c r="I36" t="s">
        <v>470</v>
      </c>
      <c r="J36" s="6">
        <v>12.45</v>
      </c>
      <c r="K36" s="6">
        <v>12</v>
      </c>
    </row>
    <row r="37" spans="1:11" x14ac:dyDescent="0.2">
      <c r="A37">
        <v>1</v>
      </c>
      <c r="B37" t="s">
        <v>468</v>
      </c>
      <c r="C37" t="s">
        <v>355</v>
      </c>
      <c r="D37" t="s">
        <v>6</v>
      </c>
      <c r="E37" t="s">
        <v>291</v>
      </c>
      <c r="F37" t="s">
        <v>6</v>
      </c>
      <c r="G37" t="s">
        <v>243</v>
      </c>
      <c r="H37" t="s">
        <v>469</v>
      </c>
      <c r="I37" t="s">
        <v>470</v>
      </c>
      <c r="J37" s="6">
        <v>8.1199999999999992</v>
      </c>
      <c r="K37" s="6">
        <v>8.1</v>
      </c>
    </row>
    <row r="38" spans="1:11" x14ac:dyDescent="0.2">
      <c r="A38">
        <v>1</v>
      </c>
      <c r="B38" t="s">
        <v>468</v>
      </c>
      <c r="C38" t="s">
        <v>359</v>
      </c>
      <c r="D38" t="s">
        <v>6</v>
      </c>
      <c r="E38" t="s">
        <v>360</v>
      </c>
      <c r="F38" t="s">
        <v>11</v>
      </c>
      <c r="G38" t="s">
        <v>207</v>
      </c>
      <c r="H38" t="s">
        <v>469</v>
      </c>
      <c r="I38" t="s">
        <v>470</v>
      </c>
      <c r="J38" s="6">
        <v>8.5399999999999991</v>
      </c>
      <c r="K38" s="6">
        <v>5.5</v>
      </c>
    </row>
    <row r="39" spans="1:11" x14ac:dyDescent="0.2">
      <c r="A39">
        <v>1</v>
      </c>
      <c r="B39" t="s">
        <v>468</v>
      </c>
      <c r="C39" t="s">
        <v>354</v>
      </c>
      <c r="D39" t="s">
        <v>5</v>
      </c>
      <c r="E39" t="s">
        <v>294</v>
      </c>
      <c r="F39" t="s">
        <v>16</v>
      </c>
      <c r="G39" t="s">
        <v>319</v>
      </c>
      <c r="H39" t="s">
        <v>469</v>
      </c>
      <c r="I39" t="s">
        <v>470</v>
      </c>
      <c r="J39" s="6">
        <v>7.01</v>
      </c>
      <c r="K39" s="6">
        <v>6.1</v>
      </c>
    </row>
    <row r="40" spans="1:11" x14ac:dyDescent="0.2">
      <c r="A40">
        <v>1</v>
      </c>
      <c r="B40" t="s">
        <v>468</v>
      </c>
      <c r="C40" t="s">
        <v>8</v>
      </c>
      <c r="D40" t="s">
        <v>6</v>
      </c>
      <c r="E40" t="s">
        <v>52</v>
      </c>
      <c r="F40" t="s">
        <v>11</v>
      </c>
      <c r="G40" t="s">
        <v>471</v>
      </c>
      <c r="H40" t="s">
        <v>469</v>
      </c>
      <c r="I40" t="s">
        <v>470</v>
      </c>
      <c r="J40" s="6">
        <v>7.94</v>
      </c>
      <c r="K40" s="6">
        <v>0</v>
      </c>
    </row>
    <row r="41" spans="1:11" x14ac:dyDescent="0.2">
      <c r="A41">
        <v>1</v>
      </c>
      <c r="B41" t="s">
        <v>468</v>
      </c>
      <c r="C41" t="s">
        <v>426</v>
      </c>
      <c r="D41" t="s">
        <v>13</v>
      </c>
      <c r="E41" t="s">
        <v>360</v>
      </c>
      <c r="F41" t="s">
        <v>13</v>
      </c>
      <c r="G41" t="s">
        <v>329</v>
      </c>
      <c r="H41" t="s">
        <v>469</v>
      </c>
      <c r="I41" t="s">
        <v>470</v>
      </c>
      <c r="J41" s="6">
        <v>8.81</v>
      </c>
      <c r="K41" s="6">
        <v>12</v>
      </c>
    </row>
    <row r="42" spans="1:11" x14ac:dyDescent="0.2">
      <c r="A42">
        <v>1</v>
      </c>
      <c r="B42" t="s">
        <v>468</v>
      </c>
      <c r="C42" t="s">
        <v>420</v>
      </c>
      <c r="D42" t="s">
        <v>5</v>
      </c>
      <c r="E42" t="s">
        <v>360</v>
      </c>
      <c r="F42" t="s">
        <v>16</v>
      </c>
      <c r="G42" t="s">
        <v>453</v>
      </c>
      <c r="H42" t="s">
        <v>469</v>
      </c>
      <c r="I42" t="s">
        <v>470</v>
      </c>
      <c r="J42" s="6">
        <v>5.54</v>
      </c>
      <c r="K42" s="6">
        <v>2.2999999999999998</v>
      </c>
    </row>
    <row r="43" spans="1:11" x14ac:dyDescent="0.2">
      <c r="A43">
        <v>1</v>
      </c>
      <c r="B43" t="s">
        <v>468</v>
      </c>
      <c r="C43" t="s">
        <v>417</v>
      </c>
      <c r="D43" t="s">
        <v>6</v>
      </c>
      <c r="E43" t="s">
        <v>301</v>
      </c>
      <c r="F43" t="s">
        <v>16</v>
      </c>
      <c r="G43" t="s">
        <v>472</v>
      </c>
      <c r="H43" t="s">
        <v>469</v>
      </c>
      <c r="I43" t="s">
        <v>470</v>
      </c>
      <c r="J43" s="6">
        <v>6.65</v>
      </c>
      <c r="K43" s="6">
        <v>12.9</v>
      </c>
    </row>
    <row r="44" spans="1:11" x14ac:dyDescent="0.2">
      <c r="A44">
        <v>1</v>
      </c>
      <c r="B44" t="s">
        <v>468</v>
      </c>
      <c r="C44" t="s">
        <v>80</v>
      </c>
      <c r="D44" t="s">
        <v>12</v>
      </c>
      <c r="E44" t="s">
        <v>125</v>
      </c>
      <c r="F44" t="s">
        <v>12</v>
      </c>
      <c r="G44" t="s">
        <v>445</v>
      </c>
      <c r="H44" t="s">
        <v>469</v>
      </c>
      <c r="I44" t="s">
        <v>470</v>
      </c>
      <c r="J44" s="6">
        <v>7.42</v>
      </c>
      <c r="K44" s="6">
        <v>0</v>
      </c>
    </row>
    <row r="45" spans="1:11" x14ac:dyDescent="0.2">
      <c r="A45">
        <v>1</v>
      </c>
      <c r="B45" t="s">
        <v>468</v>
      </c>
      <c r="C45" t="s">
        <v>72</v>
      </c>
      <c r="D45" t="s">
        <v>6</v>
      </c>
      <c r="E45" t="s">
        <v>25</v>
      </c>
      <c r="F45" t="s">
        <v>16</v>
      </c>
      <c r="G45" t="s">
        <v>473</v>
      </c>
      <c r="H45" t="s">
        <v>469</v>
      </c>
      <c r="I45" t="s">
        <v>470</v>
      </c>
      <c r="J45" s="6">
        <v>2.37</v>
      </c>
      <c r="K45" s="6">
        <v>0</v>
      </c>
    </row>
    <row r="46" spans="1:11" x14ac:dyDescent="0.2">
      <c r="A46">
        <v>1</v>
      </c>
      <c r="B46" t="s">
        <v>469</v>
      </c>
      <c r="C46" t="s">
        <v>85</v>
      </c>
      <c r="D46" t="s">
        <v>5</v>
      </c>
      <c r="E46" t="s">
        <v>52</v>
      </c>
      <c r="F46" t="s">
        <v>5</v>
      </c>
      <c r="G46" t="s">
        <v>84</v>
      </c>
      <c r="H46" t="s">
        <v>474</v>
      </c>
      <c r="I46" t="s">
        <v>475</v>
      </c>
      <c r="J46" s="6">
        <v>16.13</v>
      </c>
      <c r="K46" s="6">
        <v>11.3</v>
      </c>
    </row>
    <row r="47" spans="1:11" x14ac:dyDescent="0.2">
      <c r="A47">
        <v>1</v>
      </c>
      <c r="B47" t="s">
        <v>469</v>
      </c>
      <c r="C47" t="s">
        <v>71</v>
      </c>
      <c r="D47" t="s">
        <v>5</v>
      </c>
      <c r="E47" t="s">
        <v>25</v>
      </c>
      <c r="F47" t="s">
        <v>11</v>
      </c>
      <c r="G47" t="s">
        <v>147</v>
      </c>
      <c r="H47" t="s">
        <v>474</v>
      </c>
      <c r="I47" t="s">
        <v>475</v>
      </c>
      <c r="J47" s="6">
        <v>13.32</v>
      </c>
      <c r="K47" s="6">
        <v>32.6</v>
      </c>
    </row>
    <row r="48" spans="1:11" x14ac:dyDescent="0.2">
      <c r="A48">
        <v>1</v>
      </c>
      <c r="B48" t="s">
        <v>469</v>
      </c>
      <c r="C48" t="s">
        <v>397</v>
      </c>
      <c r="D48" t="s">
        <v>6</v>
      </c>
      <c r="E48" t="s">
        <v>290</v>
      </c>
      <c r="F48" t="s">
        <v>6</v>
      </c>
      <c r="G48" t="s">
        <v>195</v>
      </c>
      <c r="H48" t="s">
        <v>474</v>
      </c>
      <c r="I48" t="s">
        <v>475</v>
      </c>
      <c r="J48" s="6">
        <v>11.75</v>
      </c>
      <c r="K48" s="6">
        <v>23.5</v>
      </c>
    </row>
    <row r="49" spans="1:11" x14ac:dyDescent="0.2">
      <c r="A49">
        <v>1</v>
      </c>
      <c r="B49" t="s">
        <v>469</v>
      </c>
      <c r="C49" t="s">
        <v>416</v>
      </c>
      <c r="D49" t="s">
        <v>5</v>
      </c>
      <c r="E49" t="s">
        <v>296</v>
      </c>
      <c r="F49" t="s">
        <v>5</v>
      </c>
      <c r="G49" t="s">
        <v>66</v>
      </c>
      <c r="H49" t="s">
        <v>474</v>
      </c>
      <c r="I49" t="s">
        <v>475</v>
      </c>
      <c r="J49" s="6">
        <v>11.41</v>
      </c>
      <c r="K49" s="6">
        <v>31.9</v>
      </c>
    </row>
    <row r="50" spans="1:11" x14ac:dyDescent="0.2">
      <c r="A50">
        <v>1</v>
      </c>
      <c r="B50" t="s">
        <v>469</v>
      </c>
      <c r="C50" t="s">
        <v>383</v>
      </c>
      <c r="D50" t="s">
        <v>6</v>
      </c>
      <c r="E50" t="s">
        <v>300</v>
      </c>
      <c r="F50" t="s">
        <v>6</v>
      </c>
      <c r="G50" t="s">
        <v>199</v>
      </c>
      <c r="H50" t="s">
        <v>474</v>
      </c>
      <c r="I50" t="s">
        <v>475</v>
      </c>
      <c r="J50" s="6">
        <v>9.4</v>
      </c>
      <c r="K50" s="6">
        <v>3.8</v>
      </c>
    </row>
    <row r="51" spans="1:11" x14ac:dyDescent="0.2">
      <c r="A51">
        <v>1</v>
      </c>
      <c r="B51" t="s">
        <v>469</v>
      </c>
      <c r="C51" t="s">
        <v>251</v>
      </c>
      <c r="D51" t="s">
        <v>9</v>
      </c>
      <c r="E51" t="s">
        <v>24</v>
      </c>
      <c r="F51" t="s">
        <v>9</v>
      </c>
      <c r="G51" t="s">
        <v>250</v>
      </c>
      <c r="H51" t="s">
        <v>474</v>
      </c>
      <c r="I51" t="s">
        <v>475</v>
      </c>
      <c r="J51" s="6">
        <v>7.18</v>
      </c>
      <c r="K51" s="6">
        <v>8</v>
      </c>
    </row>
    <row r="52" spans="1:11" x14ac:dyDescent="0.2">
      <c r="A52">
        <v>1</v>
      </c>
      <c r="B52" t="s">
        <v>469</v>
      </c>
      <c r="C52" t="s">
        <v>354</v>
      </c>
      <c r="D52" t="s">
        <v>5</v>
      </c>
      <c r="E52" t="s">
        <v>294</v>
      </c>
      <c r="F52" t="s">
        <v>16</v>
      </c>
      <c r="G52" t="s">
        <v>100</v>
      </c>
      <c r="H52" t="s">
        <v>474</v>
      </c>
      <c r="I52" t="s">
        <v>475</v>
      </c>
      <c r="J52" s="6">
        <v>8.89</v>
      </c>
      <c r="K52" s="6">
        <v>3.6</v>
      </c>
    </row>
    <row r="53" spans="1:11" x14ac:dyDescent="0.2">
      <c r="A53">
        <v>1</v>
      </c>
      <c r="B53" t="s">
        <v>469</v>
      </c>
      <c r="C53" t="s">
        <v>70</v>
      </c>
      <c r="D53" t="s">
        <v>6</v>
      </c>
      <c r="E53" t="s">
        <v>41</v>
      </c>
      <c r="F53" t="s">
        <v>11</v>
      </c>
      <c r="G53" t="s">
        <v>313</v>
      </c>
      <c r="H53" t="s">
        <v>474</v>
      </c>
      <c r="I53" t="s">
        <v>475</v>
      </c>
      <c r="J53" s="6">
        <v>8.2899999999999991</v>
      </c>
      <c r="K53" s="6">
        <v>6.3</v>
      </c>
    </row>
    <row r="54" spans="1:11" x14ac:dyDescent="0.2">
      <c r="A54">
        <v>1</v>
      </c>
      <c r="B54" t="s">
        <v>469</v>
      </c>
      <c r="C54" t="s">
        <v>354</v>
      </c>
      <c r="D54" t="s">
        <v>5</v>
      </c>
      <c r="E54" t="s">
        <v>294</v>
      </c>
      <c r="F54" t="s">
        <v>16</v>
      </c>
      <c r="G54" t="s">
        <v>476</v>
      </c>
      <c r="H54" t="s">
        <v>474</v>
      </c>
      <c r="I54" t="s">
        <v>475</v>
      </c>
      <c r="J54" s="6">
        <v>3.62</v>
      </c>
      <c r="K54" s="6">
        <v>0</v>
      </c>
    </row>
    <row r="55" spans="1:11" x14ac:dyDescent="0.2">
      <c r="A55">
        <v>1</v>
      </c>
      <c r="B55" t="s">
        <v>469</v>
      </c>
      <c r="C55" t="s">
        <v>461</v>
      </c>
      <c r="D55" t="s">
        <v>4</v>
      </c>
      <c r="E55" t="s">
        <v>34</v>
      </c>
      <c r="F55" t="s">
        <v>4</v>
      </c>
      <c r="G55" t="s">
        <v>462</v>
      </c>
      <c r="H55" t="s">
        <v>474</v>
      </c>
      <c r="I55" t="s">
        <v>475</v>
      </c>
      <c r="J55" s="6">
        <v>14.21</v>
      </c>
      <c r="K55" s="6">
        <v>23.2</v>
      </c>
    </row>
    <row r="56" spans="1:11" x14ac:dyDescent="0.2">
      <c r="A56">
        <v>1</v>
      </c>
      <c r="B56" t="s">
        <v>469</v>
      </c>
      <c r="C56" t="s">
        <v>430</v>
      </c>
      <c r="D56" t="s">
        <v>12</v>
      </c>
      <c r="E56" t="s">
        <v>293</v>
      </c>
      <c r="F56" t="s">
        <v>12</v>
      </c>
      <c r="G56" t="s">
        <v>141</v>
      </c>
      <c r="H56" t="s">
        <v>474</v>
      </c>
      <c r="I56" t="s">
        <v>475</v>
      </c>
      <c r="J56" s="6">
        <v>4.43</v>
      </c>
      <c r="K56" s="6">
        <v>5</v>
      </c>
    </row>
    <row r="57" spans="1:11" x14ac:dyDescent="0.2">
      <c r="A57">
        <v>1</v>
      </c>
      <c r="B57" t="s">
        <v>469</v>
      </c>
      <c r="C57" t="s">
        <v>331</v>
      </c>
      <c r="D57" t="s">
        <v>13</v>
      </c>
      <c r="E57" t="s">
        <v>62</v>
      </c>
      <c r="F57" t="s">
        <v>13</v>
      </c>
      <c r="G57" t="s">
        <v>315</v>
      </c>
      <c r="H57" t="s">
        <v>474</v>
      </c>
      <c r="I57" t="s">
        <v>475</v>
      </c>
      <c r="J57" s="6">
        <v>6.92</v>
      </c>
      <c r="K57" s="6">
        <v>6</v>
      </c>
    </row>
    <row r="58" spans="1:11" x14ac:dyDescent="0.2">
      <c r="A58">
        <v>1</v>
      </c>
      <c r="B58" t="s">
        <v>469</v>
      </c>
      <c r="C58" t="s">
        <v>150</v>
      </c>
      <c r="D58" t="s">
        <v>6</v>
      </c>
      <c r="E58" t="s">
        <v>46</v>
      </c>
      <c r="F58" t="s">
        <v>16</v>
      </c>
      <c r="G58" t="s">
        <v>477</v>
      </c>
      <c r="H58" t="s">
        <v>474</v>
      </c>
      <c r="I58" t="s">
        <v>475</v>
      </c>
      <c r="J58" s="6">
        <v>5.61</v>
      </c>
      <c r="K58" s="6">
        <v>3.5</v>
      </c>
    </row>
    <row r="59" spans="1:11" x14ac:dyDescent="0.2">
      <c r="A59">
        <v>1</v>
      </c>
      <c r="B59" t="s">
        <v>469</v>
      </c>
      <c r="C59" t="s">
        <v>48</v>
      </c>
      <c r="D59" t="s">
        <v>6</v>
      </c>
      <c r="E59" t="s">
        <v>34</v>
      </c>
      <c r="F59" t="s">
        <v>16</v>
      </c>
      <c r="G59" t="s">
        <v>454</v>
      </c>
      <c r="H59" t="s">
        <v>474</v>
      </c>
      <c r="I59" t="s">
        <v>475</v>
      </c>
      <c r="J59" s="6">
        <v>7.37</v>
      </c>
      <c r="K59" s="6">
        <v>16.399999999999999</v>
      </c>
    </row>
    <row r="60" spans="1:11" x14ac:dyDescent="0.2">
      <c r="A60">
        <v>1</v>
      </c>
      <c r="B60" t="s">
        <v>478</v>
      </c>
      <c r="C60" t="s">
        <v>423</v>
      </c>
      <c r="D60" t="s">
        <v>5</v>
      </c>
      <c r="E60" t="s">
        <v>288</v>
      </c>
      <c r="F60" t="s">
        <v>5</v>
      </c>
      <c r="G60" t="s">
        <v>196</v>
      </c>
      <c r="H60" t="s">
        <v>309</v>
      </c>
      <c r="I60" t="s">
        <v>479</v>
      </c>
      <c r="J60" s="6">
        <v>20.48</v>
      </c>
      <c r="K60" s="6">
        <v>31.1</v>
      </c>
    </row>
    <row r="61" spans="1:11" x14ac:dyDescent="0.2">
      <c r="A61">
        <v>1</v>
      </c>
      <c r="B61" t="s">
        <v>478</v>
      </c>
      <c r="C61" t="s">
        <v>422</v>
      </c>
      <c r="D61" t="s">
        <v>9</v>
      </c>
      <c r="E61" t="s">
        <v>300</v>
      </c>
      <c r="F61" t="s">
        <v>9</v>
      </c>
      <c r="G61" t="s">
        <v>230</v>
      </c>
      <c r="H61" t="s">
        <v>309</v>
      </c>
      <c r="I61" t="s">
        <v>479</v>
      </c>
      <c r="J61" s="6">
        <v>11.1</v>
      </c>
      <c r="K61" s="6">
        <v>20</v>
      </c>
    </row>
    <row r="62" spans="1:11" x14ac:dyDescent="0.2">
      <c r="A62">
        <v>1</v>
      </c>
      <c r="B62" t="s">
        <v>478</v>
      </c>
      <c r="C62" t="s">
        <v>48</v>
      </c>
      <c r="D62" t="s">
        <v>6</v>
      </c>
      <c r="E62" t="s">
        <v>34</v>
      </c>
      <c r="F62" t="s">
        <v>6</v>
      </c>
      <c r="G62" t="s">
        <v>47</v>
      </c>
      <c r="H62" t="s">
        <v>309</v>
      </c>
      <c r="I62" t="s">
        <v>479</v>
      </c>
      <c r="J62" s="6">
        <v>11.97</v>
      </c>
      <c r="K62" s="6">
        <v>23.2</v>
      </c>
    </row>
    <row r="63" spans="1:11" x14ac:dyDescent="0.2">
      <c r="A63">
        <v>1</v>
      </c>
      <c r="B63" t="s">
        <v>478</v>
      </c>
      <c r="C63" t="s">
        <v>363</v>
      </c>
      <c r="D63" t="s">
        <v>6</v>
      </c>
      <c r="E63" t="s">
        <v>288</v>
      </c>
      <c r="F63" t="s">
        <v>6</v>
      </c>
      <c r="G63" t="s">
        <v>234</v>
      </c>
      <c r="H63" t="s">
        <v>309</v>
      </c>
      <c r="I63" t="s">
        <v>479</v>
      </c>
      <c r="J63" s="6">
        <v>10.28</v>
      </c>
      <c r="K63" s="6">
        <v>6.5</v>
      </c>
    </row>
    <row r="64" spans="1:11" x14ac:dyDescent="0.2">
      <c r="A64">
        <v>1</v>
      </c>
      <c r="B64" t="s">
        <v>478</v>
      </c>
      <c r="C64" t="s">
        <v>425</v>
      </c>
      <c r="D64" t="s">
        <v>5</v>
      </c>
      <c r="E64" t="s">
        <v>286</v>
      </c>
      <c r="F64" t="s">
        <v>5</v>
      </c>
      <c r="G64" t="s">
        <v>51</v>
      </c>
      <c r="H64" t="s">
        <v>309</v>
      </c>
      <c r="I64" t="s">
        <v>479</v>
      </c>
      <c r="J64" s="6">
        <v>11.71</v>
      </c>
      <c r="K64" s="6">
        <v>27.4</v>
      </c>
    </row>
    <row r="65" spans="1:11" x14ac:dyDescent="0.2">
      <c r="A65">
        <v>1</v>
      </c>
      <c r="B65" t="s">
        <v>478</v>
      </c>
      <c r="C65" t="s">
        <v>105</v>
      </c>
      <c r="D65" t="s">
        <v>5</v>
      </c>
      <c r="E65" t="s">
        <v>41</v>
      </c>
      <c r="F65" t="s">
        <v>11</v>
      </c>
      <c r="G65" t="s">
        <v>480</v>
      </c>
      <c r="H65" t="s">
        <v>309</v>
      </c>
      <c r="I65" t="s">
        <v>479</v>
      </c>
      <c r="J65" s="6">
        <v>10.29</v>
      </c>
      <c r="K65" s="6">
        <v>2.2999999999999998</v>
      </c>
    </row>
    <row r="66" spans="1:11" x14ac:dyDescent="0.2">
      <c r="A66">
        <v>1</v>
      </c>
      <c r="B66" t="s">
        <v>478</v>
      </c>
      <c r="C66" t="s">
        <v>102</v>
      </c>
      <c r="D66" t="s">
        <v>5</v>
      </c>
      <c r="E66" t="s">
        <v>24</v>
      </c>
      <c r="F66" t="s">
        <v>11</v>
      </c>
      <c r="G66" t="s">
        <v>225</v>
      </c>
      <c r="H66" t="s">
        <v>309</v>
      </c>
      <c r="I66" t="s">
        <v>479</v>
      </c>
      <c r="J66" s="6">
        <v>11.91</v>
      </c>
      <c r="K66" s="6">
        <v>3.7</v>
      </c>
    </row>
    <row r="67" spans="1:11" x14ac:dyDescent="0.2">
      <c r="A67">
        <v>1</v>
      </c>
      <c r="B67" t="s">
        <v>478</v>
      </c>
      <c r="C67" t="s">
        <v>395</v>
      </c>
      <c r="D67" t="s">
        <v>6</v>
      </c>
      <c r="E67" t="s">
        <v>293</v>
      </c>
      <c r="F67" t="s">
        <v>16</v>
      </c>
      <c r="G67" t="s">
        <v>191</v>
      </c>
      <c r="H67" t="s">
        <v>309</v>
      </c>
      <c r="I67" t="s">
        <v>479</v>
      </c>
      <c r="J67" s="6">
        <v>8.14</v>
      </c>
      <c r="K67" s="6">
        <v>0</v>
      </c>
    </row>
    <row r="68" spans="1:11" x14ac:dyDescent="0.2">
      <c r="A68">
        <v>1</v>
      </c>
      <c r="B68" t="s">
        <v>478</v>
      </c>
      <c r="C68" t="s">
        <v>424</v>
      </c>
      <c r="D68" t="s">
        <v>4</v>
      </c>
      <c r="E68" t="s">
        <v>294</v>
      </c>
      <c r="F68" t="s">
        <v>4</v>
      </c>
      <c r="G68" t="s">
        <v>260</v>
      </c>
      <c r="H68" t="s">
        <v>309</v>
      </c>
      <c r="I68" t="s">
        <v>479</v>
      </c>
      <c r="J68" s="6">
        <v>16.13</v>
      </c>
      <c r="K68" s="6">
        <v>5.44</v>
      </c>
    </row>
    <row r="69" spans="1:11" x14ac:dyDescent="0.2">
      <c r="A69">
        <v>1</v>
      </c>
      <c r="B69" t="s">
        <v>478</v>
      </c>
      <c r="C69" t="s">
        <v>407</v>
      </c>
      <c r="D69" t="s">
        <v>9</v>
      </c>
      <c r="E69" t="s">
        <v>290</v>
      </c>
      <c r="F69" t="s">
        <v>16</v>
      </c>
      <c r="G69" t="s">
        <v>10</v>
      </c>
      <c r="H69" t="s">
        <v>309</v>
      </c>
      <c r="I69" t="s">
        <v>479</v>
      </c>
      <c r="J69" s="6">
        <v>8.33</v>
      </c>
      <c r="K69" s="6">
        <v>6.9</v>
      </c>
    </row>
    <row r="70" spans="1:11" x14ac:dyDescent="0.2">
      <c r="A70">
        <v>1</v>
      </c>
      <c r="B70" t="s">
        <v>478</v>
      </c>
      <c r="C70" t="s">
        <v>355</v>
      </c>
      <c r="D70" t="s">
        <v>6</v>
      </c>
      <c r="E70" t="s">
        <v>291</v>
      </c>
      <c r="F70" t="s">
        <v>16</v>
      </c>
      <c r="G70" t="s">
        <v>252</v>
      </c>
      <c r="H70" t="s">
        <v>309</v>
      </c>
      <c r="I70" t="s">
        <v>479</v>
      </c>
      <c r="J70" s="6">
        <v>7.06</v>
      </c>
      <c r="K70" s="6">
        <v>4.7</v>
      </c>
    </row>
    <row r="71" spans="1:11" x14ac:dyDescent="0.2">
      <c r="A71">
        <v>1</v>
      </c>
      <c r="B71" t="s">
        <v>478</v>
      </c>
      <c r="C71" t="s">
        <v>152</v>
      </c>
      <c r="D71" t="s">
        <v>12</v>
      </c>
      <c r="E71" t="s">
        <v>62</v>
      </c>
      <c r="F71" t="s">
        <v>12</v>
      </c>
      <c r="G71" t="s">
        <v>151</v>
      </c>
      <c r="H71" t="s">
        <v>309</v>
      </c>
      <c r="I71" t="s">
        <v>479</v>
      </c>
      <c r="J71" s="6">
        <v>4.66</v>
      </c>
      <c r="K71" s="6">
        <v>7</v>
      </c>
    </row>
    <row r="72" spans="1:11" x14ac:dyDescent="0.2">
      <c r="A72">
        <v>1</v>
      </c>
      <c r="B72" t="s">
        <v>478</v>
      </c>
      <c r="C72" t="s">
        <v>451</v>
      </c>
      <c r="D72" t="s">
        <v>13</v>
      </c>
      <c r="E72" t="s">
        <v>52</v>
      </c>
      <c r="F72" t="s">
        <v>13</v>
      </c>
      <c r="G72" t="s">
        <v>452</v>
      </c>
      <c r="H72" t="s">
        <v>309</v>
      </c>
      <c r="I72" t="s">
        <v>479</v>
      </c>
      <c r="J72" s="6">
        <v>8.6999999999999993</v>
      </c>
      <c r="K72" s="6">
        <v>10</v>
      </c>
    </row>
    <row r="73" spans="1:11" x14ac:dyDescent="0.2">
      <c r="A73">
        <v>1</v>
      </c>
      <c r="B73" t="s">
        <v>478</v>
      </c>
      <c r="C73" t="s">
        <v>443</v>
      </c>
      <c r="D73" t="s">
        <v>4</v>
      </c>
      <c r="E73" t="s">
        <v>291</v>
      </c>
      <c r="F73" t="s">
        <v>16</v>
      </c>
      <c r="G73" t="s">
        <v>154</v>
      </c>
      <c r="H73" t="s">
        <v>309</v>
      </c>
      <c r="I73" t="s">
        <v>479</v>
      </c>
      <c r="J73" s="6">
        <v>15.17</v>
      </c>
      <c r="K73" s="6">
        <v>9.0399999999999991</v>
      </c>
    </row>
    <row r="74" spans="1:11" x14ac:dyDescent="0.2">
      <c r="A74">
        <v>1</v>
      </c>
      <c r="B74" t="s">
        <v>309</v>
      </c>
      <c r="C74" t="s">
        <v>384</v>
      </c>
      <c r="D74" t="s">
        <v>6</v>
      </c>
      <c r="E74" t="s">
        <v>292</v>
      </c>
      <c r="F74" t="s">
        <v>6</v>
      </c>
      <c r="G74" t="s">
        <v>187</v>
      </c>
      <c r="H74" t="s">
        <v>481</v>
      </c>
      <c r="I74" t="s">
        <v>482</v>
      </c>
      <c r="J74" s="6">
        <v>15.59</v>
      </c>
      <c r="K74" s="6">
        <v>22.2</v>
      </c>
    </row>
    <row r="75" spans="1:11" x14ac:dyDescent="0.2">
      <c r="A75">
        <v>1</v>
      </c>
      <c r="B75" t="s">
        <v>309</v>
      </c>
      <c r="C75" t="s">
        <v>44</v>
      </c>
      <c r="D75" t="s">
        <v>5</v>
      </c>
      <c r="E75" t="s">
        <v>55</v>
      </c>
      <c r="F75" t="s">
        <v>5</v>
      </c>
      <c r="G75" t="s">
        <v>310</v>
      </c>
      <c r="H75" t="s">
        <v>481</v>
      </c>
      <c r="I75" t="s">
        <v>482</v>
      </c>
      <c r="J75" s="6">
        <v>16.170000000000002</v>
      </c>
      <c r="K75" s="6">
        <v>29.7</v>
      </c>
    </row>
    <row r="76" spans="1:11" x14ac:dyDescent="0.2">
      <c r="A76">
        <v>1</v>
      </c>
      <c r="B76" t="s">
        <v>309</v>
      </c>
      <c r="C76" t="s">
        <v>21</v>
      </c>
      <c r="D76" t="s">
        <v>6</v>
      </c>
      <c r="E76" t="s">
        <v>124</v>
      </c>
      <c r="F76" t="s">
        <v>6</v>
      </c>
      <c r="G76" t="s">
        <v>20</v>
      </c>
      <c r="H76" t="s">
        <v>481</v>
      </c>
      <c r="I76" t="s">
        <v>482</v>
      </c>
      <c r="J76" s="6">
        <v>11.84</v>
      </c>
      <c r="K76" s="6">
        <v>10.9</v>
      </c>
    </row>
    <row r="77" spans="1:11" x14ac:dyDescent="0.2">
      <c r="A77">
        <v>1</v>
      </c>
      <c r="B77" t="s">
        <v>309</v>
      </c>
      <c r="C77" t="s">
        <v>382</v>
      </c>
      <c r="D77" t="s">
        <v>6</v>
      </c>
      <c r="E77" t="s">
        <v>298</v>
      </c>
      <c r="F77" t="s">
        <v>11</v>
      </c>
      <c r="G77" t="s">
        <v>106</v>
      </c>
      <c r="H77" t="s">
        <v>481</v>
      </c>
      <c r="I77" t="s">
        <v>482</v>
      </c>
      <c r="J77" s="6">
        <v>10.82</v>
      </c>
      <c r="K77" s="6">
        <v>7.4</v>
      </c>
    </row>
    <row r="78" spans="1:11" x14ac:dyDescent="0.2">
      <c r="A78">
        <v>1</v>
      </c>
      <c r="B78" t="s">
        <v>309</v>
      </c>
      <c r="C78" t="s">
        <v>364</v>
      </c>
      <c r="D78" t="s">
        <v>9</v>
      </c>
      <c r="E78" t="s">
        <v>291</v>
      </c>
      <c r="F78" t="s">
        <v>9</v>
      </c>
      <c r="G78" t="s">
        <v>322</v>
      </c>
      <c r="H78" t="s">
        <v>481</v>
      </c>
      <c r="I78" t="s">
        <v>482</v>
      </c>
      <c r="J78" s="6">
        <v>9.75</v>
      </c>
      <c r="K78" s="6">
        <v>8.8000000000000007</v>
      </c>
    </row>
    <row r="79" spans="1:11" x14ac:dyDescent="0.2">
      <c r="A79">
        <v>1</v>
      </c>
      <c r="B79" t="s">
        <v>309</v>
      </c>
      <c r="C79" t="s">
        <v>8</v>
      </c>
      <c r="D79" t="s">
        <v>6</v>
      </c>
      <c r="E79" t="s">
        <v>52</v>
      </c>
      <c r="F79" t="s">
        <v>11</v>
      </c>
      <c r="G79" t="s">
        <v>114</v>
      </c>
      <c r="H79" t="s">
        <v>481</v>
      </c>
      <c r="I79" t="s">
        <v>482</v>
      </c>
      <c r="J79" s="6">
        <v>8.8800000000000008</v>
      </c>
      <c r="K79" s="6">
        <v>13.9</v>
      </c>
    </row>
    <row r="80" spans="1:11" x14ac:dyDescent="0.2">
      <c r="A80">
        <v>1</v>
      </c>
      <c r="B80" t="s">
        <v>309</v>
      </c>
      <c r="C80" t="s">
        <v>155</v>
      </c>
      <c r="D80" t="s">
        <v>4</v>
      </c>
      <c r="E80" t="s">
        <v>46</v>
      </c>
      <c r="F80" t="s">
        <v>4</v>
      </c>
      <c r="G80" t="s">
        <v>345</v>
      </c>
      <c r="H80" t="s">
        <v>481</v>
      </c>
      <c r="I80" t="s">
        <v>482</v>
      </c>
      <c r="J80" s="6">
        <v>18.52</v>
      </c>
      <c r="K80" s="6">
        <v>26.6</v>
      </c>
    </row>
    <row r="81" spans="1:11" x14ac:dyDescent="0.2">
      <c r="A81">
        <v>1</v>
      </c>
      <c r="B81" t="s">
        <v>309</v>
      </c>
      <c r="C81" t="s">
        <v>365</v>
      </c>
      <c r="D81" t="s">
        <v>5</v>
      </c>
      <c r="E81" t="s">
        <v>293</v>
      </c>
      <c r="F81" t="s">
        <v>5</v>
      </c>
      <c r="G81" t="s">
        <v>318</v>
      </c>
      <c r="H81" t="s">
        <v>481</v>
      </c>
      <c r="I81" t="s">
        <v>482</v>
      </c>
      <c r="J81" s="6">
        <v>9.0500000000000007</v>
      </c>
      <c r="K81" s="6">
        <v>10</v>
      </c>
    </row>
    <row r="82" spans="1:11" x14ac:dyDescent="0.2">
      <c r="A82">
        <v>1</v>
      </c>
      <c r="B82" t="s">
        <v>309</v>
      </c>
      <c r="C82" t="s">
        <v>389</v>
      </c>
      <c r="D82" t="s">
        <v>13</v>
      </c>
      <c r="E82" t="s">
        <v>292</v>
      </c>
      <c r="F82" t="s">
        <v>13</v>
      </c>
      <c r="G82" t="s">
        <v>306</v>
      </c>
      <c r="H82" t="s">
        <v>481</v>
      </c>
      <c r="I82" t="s">
        <v>482</v>
      </c>
      <c r="J82" s="6">
        <v>9.3800000000000008</v>
      </c>
      <c r="K82" s="6">
        <v>7</v>
      </c>
    </row>
    <row r="83" spans="1:11" x14ac:dyDescent="0.2">
      <c r="A83">
        <v>1</v>
      </c>
      <c r="B83" t="s">
        <v>309</v>
      </c>
      <c r="C83" t="s">
        <v>359</v>
      </c>
      <c r="D83" t="s">
        <v>6</v>
      </c>
      <c r="E83" t="s">
        <v>360</v>
      </c>
      <c r="F83" t="s">
        <v>16</v>
      </c>
      <c r="G83" t="s">
        <v>320</v>
      </c>
      <c r="H83" t="s">
        <v>481</v>
      </c>
      <c r="I83" t="s">
        <v>482</v>
      </c>
      <c r="J83" s="6">
        <v>0</v>
      </c>
      <c r="K83" s="6">
        <v>1.6</v>
      </c>
    </row>
    <row r="84" spans="1:11" x14ac:dyDescent="0.2">
      <c r="A84">
        <v>1</v>
      </c>
      <c r="B84" t="s">
        <v>309</v>
      </c>
      <c r="C84" t="s">
        <v>378</v>
      </c>
      <c r="D84" t="s">
        <v>5</v>
      </c>
      <c r="E84" t="s">
        <v>358</v>
      </c>
      <c r="F84" t="s">
        <v>16</v>
      </c>
      <c r="G84" t="s">
        <v>165</v>
      </c>
      <c r="H84" t="s">
        <v>481</v>
      </c>
      <c r="I84" t="s">
        <v>482</v>
      </c>
      <c r="J84" s="6">
        <v>7.66</v>
      </c>
      <c r="K84" s="6">
        <v>3.7</v>
      </c>
    </row>
    <row r="85" spans="1:11" x14ac:dyDescent="0.2">
      <c r="A85">
        <v>1</v>
      </c>
      <c r="B85" t="s">
        <v>309</v>
      </c>
      <c r="C85" t="s">
        <v>367</v>
      </c>
      <c r="D85" t="s">
        <v>6</v>
      </c>
      <c r="E85" t="s">
        <v>286</v>
      </c>
      <c r="F85" t="s">
        <v>16</v>
      </c>
      <c r="G85" t="s">
        <v>198</v>
      </c>
      <c r="H85" t="s">
        <v>481</v>
      </c>
      <c r="I85" t="s">
        <v>482</v>
      </c>
      <c r="J85" s="6">
        <v>0</v>
      </c>
      <c r="K85" s="6">
        <v>0</v>
      </c>
    </row>
    <row r="86" spans="1:11" x14ac:dyDescent="0.2">
      <c r="A86">
        <v>1</v>
      </c>
      <c r="B86" t="s">
        <v>309</v>
      </c>
      <c r="C86" t="s">
        <v>423</v>
      </c>
      <c r="D86" t="s">
        <v>5</v>
      </c>
      <c r="E86" t="s">
        <v>288</v>
      </c>
      <c r="F86" t="s">
        <v>16</v>
      </c>
      <c r="G86" t="s">
        <v>153</v>
      </c>
      <c r="H86" t="s">
        <v>481</v>
      </c>
      <c r="I86" t="s">
        <v>482</v>
      </c>
      <c r="J86" s="6">
        <v>0</v>
      </c>
      <c r="K86" s="6">
        <v>0</v>
      </c>
    </row>
    <row r="87" spans="1:11" x14ac:dyDescent="0.2">
      <c r="A87">
        <v>1</v>
      </c>
      <c r="B87" t="s">
        <v>309</v>
      </c>
      <c r="C87" t="s">
        <v>31</v>
      </c>
      <c r="D87" t="s">
        <v>12</v>
      </c>
      <c r="E87" t="s">
        <v>41</v>
      </c>
      <c r="F87" t="s">
        <v>12</v>
      </c>
      <c r="G87" t="s">
        <v>30</v>
      </c>
      <c r="H87" t="s">
        <v>481</v>
      </c>
      <c r="I87" t="s">
        <v>482</v>
      </c>
      <c r="J87" s="6">
        <v>4.47</v>
      </c>
      <c r="K87" s="6">
        <v>8</v>
      </c>
    </row>
    <row r="88" spans="1:11" x14ac:dyDescent="0.2">
      <c r="A88">
        <v>1</v>
      </c>
      <c r="B88" t="s">
        <v>483</v>
      </c>
      <c r="C88" t="s">
        <v>381</v>
      </c>
      <c r="D88" t="s">
        <v>5</v>
      </c>
      <c r="E88" t="s">
        <v>295</v>
      </c>
      <c r="F88" t="s">
        <v>5</v>
      </c>
      <c r="G88" t="s">
        <v>186</v>
      </c>
      <c r="H88" t="s">
        <v>484</v>
      </c>
      <c r="I88" t="s">
        <v>485</v>
      </c>
      <c r="J88" s="6">
        <v>16.79</v>
      </c>
      <c r="K88" s="6">
        <v>27.3</v>
      </c>
    </row>
    <row r="89" spans="1:11" x14ac:dyDescent="0.2">
      <c r="A89">
        <v>1</v>
      </c>
      <c r="B89" t="s">
        <v>483</v>
      </c>
      <c r="C89" t="s">
        <v>399</v>
      </c>
      <c r="D89" t="s">
        <v>5</v>
      </c>
      <c r="E89" t="s">
        <v>285</v>
      </c>
      <c r="F89" t="s">
        <v>5</v>
      </c>
      <c r="G89" t="s">
        <v>50</v>
      </c>
      <c r="H89" t="s">
        <v>484</v>
      </c>
      <c r="I89" t="s">
        <v>485</v>
      </c>
      <c r="J89" s="6">
        <v>14.2</v>
      </c>
      <c r="K89" s="6">
        <v>21.7</v>
      </c>
    </row>
    <row r="90" spans="1:11" x14ac:dyDescent="0.2">
      <c r="A90">
        <v>1</v>
      </c>
      <c r="B90" t="s">
        <v>483</v>
      </c>
      <c r="C90" t="s">
        <v>70</v>
      </c>
      <c r="D90" t="s">
        <v>6</v>
      </c>
      <c r="E90" t="s">
        <v>41</v>
      </c>
      <c r="F90" t="s">
        <v>6</v>
      </c>
      <c r="G90" t="s">
        <v>314</v>
      </c>
      <c r="H90" t="s">
        <v>484</v>
      </c>
      <c r="I90" t="s">
        <v>485</v>
      </c>
      <c r="J90" s="6">
        <v>11.88</v>
      </c>
      <c r="K90" s="6">
        <v>8.8000000000000007</v>
      </c>
    </row>
    <row r="91" spans="1:11" x14ac:dyDescent="0.2">
      <c r="A91">
        <v>1</v>
      </c>
      <c r="B91" t="s">
        <v>483</v>
      </c>
      <c r="C91" t="s">
        <v>398</v>
      </c>
      <c r="D91" t="s">
        <v>6</v>
      </c>
      <c r="E91" t="s">
        <v>283</v>
      </c>
      <c r="F91" t="s">
        <v>6</v>
      </c>
      <c r="G91" t="s">
        <v>27</v>
      </c>
      <c r="H91" t="s">
        <v>484</v>
      </c>
      <c r="I91" t="s">
        <v>485</v>
      </c>
      <c r="J91" s="6">
        <v>9.64</v>
      </c>
      <c r="K91" s="6">
        <v>18.5</v>
      </c>
    </row>
    <row r="92" spans="1:11" x14ac:dyDescent="0.2">
      <c r="A92">
        <v>1</v>
      </c>
      <c r="B92" t="s">
        <v>483</v>
      </c>
      <c r="C92" t="s">
        <v>23</v>
      </c>
      <c r="D92" t="s">
        <v>4</v>
      </c>
      <c r="E92" t="s">
        <v>123</v>
      </c>
      <c r="F92" t="s">
        <v>4</v>
      </c>
      <c r="G92" t="s">
        <v>22</v>
      </c>
      <c r="H92" t="s">
        <v>484</v>
      </c>
      <c r="I92" t="s">
        <v>485</v>
      </c>
      <c r="J92" s="6">
        <v>17.5</v>
      </c>
      <c r="K92" s="6">
        <v>4.0999999999999996</v>
      </c>
    </row>
    <row r="93" spans="1:11" x14ac:dyDescent="0.2">
      <c r="A93">
        <v>1</v>
      </c>
      <c r="B93" t="s">
        <v>483</v>
      </c>
      <c r="C93" t="s">
        <v>432</v>
      </c>
      <c r="D93" t="s">
        <v>9</v>
      </c>
      <c r="E93" t="s">
        <v>288</v>
      </c>
      <c r="F93" t="s">
        <v>9</v>
      </c>
      <c r="G93" t="s">
        <v>204</v>
      </c>
      <c r="H93" t="s">
        <v>484</v>
      </c>
      <c r="I93" t="s">
        <v>485</v>
      </c>
      <c r="J93" s="6">
        <v>8.6999999999999993</v>
      </c>
      <c r="K93" s="6">
        <v>7.3</v>
      </c>
    </row>
    <row r="94" spans="1:11" x14ac:dyDescent="0.2">
      <c r="A94">
        <v>1</v>
      </c>
      <c r="B94" t="s">
        <v>483</v>
      </c>
      <c r="C94" t="s">
        <v>359</v>
      </c>
      <c r="D94" t="s">
        <v>6</v>
      </c>
      <c r="E94" t="s">
        <v>360</v>
      </c>
      <c r="F94" t="s">
        <v>11</v>
      </c>
      <c r="G94" t="s">
        <v>78</v>
      </c>
      <c r="H94" t="s">
        <v>484</v>
      </c>
      <c r="I94" t="s">
        <v>485</v>
      </c>
      <c r="J94" s="6">
        <v>8.4700000000000006</v>
      </c>
      <c r="K94" s="6">
        <v>11.2</v>
      </c>
    </row>
    <row r="95" spans="1:11" x14ac:dyDescent="0.2">
      <c r="A95">
        <v>1</v>
      </c>
      <c r="B95" t="s">
        <v>483</v>
      </c>
      <c r="C95" t="s">
        <v>351</v>
      </c>
      <c r="D95" t="s">
        <v>5</v>
      </c>
      <c r="E95" t="s">
        <v>292</v>
      </c>
      <c r="F95" t="s">
        <v>16</v>
      </c>
      <c r="G95" t="s">
        <v>188</v>
      </c>
      <c r="H95" t="s">
        <v>484</v>
      </c>
      <c r="I95" t="s">
        <v>485</v>
      </c>
      <c r="J95" s="6">
        <v>0</v>
      </c>
      <c r="K95" s="6">
        <v>0</v>
      </c>
    </row>
    <row r="96" spans="1:11" x14ac:dyDescent="0.2">
      <c r="A96">
        <v>1</v>
      </c>
      <c r="B96" t="s">
        <v>483</v>
      </c>
      <c r="C96" t="s">
        <v>132</v>
      </c>
      <c r="D96" t="s">
        <v>12</v>
      </c>
      <c r="E96" t="s">
        <v>123</v>
      </c>
      <c r="F96" t="s">
        <v>12</v>
      </c>
      <c r="G96" t="s">
        <v>368</v>
      </c>
      <c r="H96" t="s">
        <v>484</v>
      </c>
      <c r="I96" t="s">
        <v>485</v>
      </c>
      <c r="J96" s="6">
        <v>6.17</v>
      </c>
      <c r="K96" s="6">
        <v>1</v>
      </c>
    </row>
    <row r="97" spans="1:11" x14ac:dyDescent="0.2">
      <c r="A97">
        <v>1</v>
      </c>
      <c r="B97" t="s">
        <v>483</v>
      </c>
      <c r="C97" t="s">
        <v>441</v>
      </c>
      <c r="D97" t="s">
        <v>13</v>
      </c>
      <c r="E97" t="s">
        <v>293</v>
      </c>
      <c r="F97" t="s">
        <v>13</v>
      </c>
      <c r="G97" t="s">
        <v>249</v>
      </c>
      <c r="H97" t="s">
        <v>484</v>
      </c>
      <c r="I97" t="s">
        <v>485</v>
      </c>
      <c r="J97" s="6">
        <v>8.42</v>
      </c>
      <c r="K97" s="6">
        <v>7</v>
      </c>
    </row>
    <row r="98" spans="1:11" x14ac:dyDescent="0.2">
      <c r="A98">
        <v>1</v>
      </c>
      <c r="B98" t="s">
        <v>483</v>
      </c>
      <c r="C98" t="s">
        <v>111</v>
      </c>
      <c r="D98" t="s">
        <v>9</v>
      </c>
      <c r="E98" t="s">
        <v>62</v>
      </c>
      <c r="F98" t="s">
        <v>11</v>
      </c>
      <c r="G98" t="s">
        <v>110</v>
      </c>
      <c r="H98" t="s">
        <v>484</v>
      </c>
      <c r="I98" t="s">
        <v>485</v>
      </c>
      <c r="J98" s="6">
        <v>6.59</v>
      </c>
      <c r="K98" s="6">
        <v>4.0999999999999996</v>
      </c>
    </row>
    <row r="99" spans="1:11" x14ac:dyDescent="0.2">
      <c r="A99">
        <v>1</v>
      </c>
      <c r="B99" t="s">
        <v>483</v>
      </c>
      <c r="C99" t="s">
        <v>448</v>
      </c>
      <c r="D99" t="s">
        <v>4</v>
      </c>
      <c r="E99" t="s">
        <v>292</v>
      </c>
      <c r="F99" t="s">
        <v>16</v>
      </c>
      <c r="G99" t="s">
        <v>239</v>
      </c>
      <c r="H99" t="s">
        <v>484</v>
      </c>
      <c r="I99" t="s">
        <v>485</v>
      </c>
      <c r="J99" s="6">
        <v>14.03</v>
      </c>
      <c r="K99" s="6">
        <v>0.52</v>
      </c>
    </row>
    <row r="100" spans="1:11" x14ac:dyDescent="0.2">
      <c r="A100">
        <v>1</v>
      </c>
      <c r="B100" t="s">
        <v>483</v>
      </c>
      <c r="C100" t="s">
        <v>395</v>
      </c>
      <c r="D100" t="s">
        <v>6</v>
      </c>
      <c r="E100" t="s">
        <v>293</v>
      </c>
      <c r="F100" t="s">
        <v>16</v>
      </c>
      <c r="G100" t="s">
        <v>245</v>
      </c>
      <c r="H100" t="s">
        <v>484</v>
      </c>
      <c r="I100" t="s">
        <v>485</v>
      </c>
      <c r="J100" s="6">
        <v>5.3</v>
      </c>
      <c r="K100" s="6">
        <v>0</v>
      </c>
    </row>
    <row r="101" spans="1:11" x14ac:dyDescent="0.2">
      <c r="A101">
        <v>1</v>
      </c>
      <c r="B101" t="s">
        <v>483</v>
      </c>
      <c r="C101" t="s">
        <v>486</v>
      </c>
      <c r="D101" t="s">
        <v>9</v>
      </c>
      <c r="E101" t="s">
        <v>289</v>
      </c>
      <c r="F101" t="s">
        <v>16</v>
      </c>
      <c r="G101" t="s">
        <v>302</v>
      </c>
      <c r="H101" t="s">
        <v>484</v>
      </c>
      <c r="I101" t="s">
        <v>485</v>
      </c>
      <c r="J101" s="6">
        <v>5.83</v>
      </c>
      <c r="K101" s="6">
        <v>3.8</v>
      </c>
    </row>
    <row r="102" spans="1:11" x14ac:dyDescent="0.2">
      <c r="A102">
        <v>1</v>
      </c>
      <c r="B102" t="s">
        <v>484</v>
      </c>
      <c r="C102" t="s">
        <v>7</v>
      </c>
      <c r="D102" t="s">
        <v>6</v>
      </c>
      <c r="E102" t="s">
        <v>123</v>
      </c>
      <c r="F102" t="s">
        <v>6</v>
      </c>
      <c r="G102" t="s">
        <v>203</v>
      </c>
      <c r="H102" t="s">
        <v>487</v>
      </c>
      <c r="I102" t="s">
        <v>488</v>
      </c>
      <c r="J102" s="6">
        <v>17.38</v>
      </c>
      <c r="K102" s="6">
        <v>9.9</v>
      </c>
    </row>
    <row r="103" spans="1:11" x14ac:dyDescent="0.2">
      <c r="A103">
        <v>1</v>
      </c>
      <c r="B103" t="s">
        <v>484</v>
      </c>
      <c r="C103" t="s">
        <v>109</v>
      </c>
      <c r="D103" t="s">
        <v>5</v>
      </c>
      <c r="E103" t="s">
        <v>123</v>
      </c>
      <c r="F103" t="s">
        <v>5</v>
      </c>
      <c r="G103" t="s">
        <v>167</v>
      </c>
      <c r="H103" t="s">
        <v>487</v>
      </c>
      <c r="I103" t="s">
        <v>488</v>
      </c>
      <c r="J103" s="6">
        <v>12.68</v>
      </c>
      <c r="K103" s="6">
        <v>14</v>
      </c>
    </row>
    <row r="104" spans="1:11" x14ac:dyDescent="0.2">
      <c r="A104">
        <v>1</v>
      </c>
      <c r="B104" t="s">
        <v>484</v>
      </c>
      <c r="C104" t="s">
        <v>72</v>
      </c>
      <c r="D104" t="s">
        <v>6</v>
      </c>
      <c r="E104" t="s">
        <v>25</v>
      </c>
      <c r="F104" t="s">
        <v>6</v>
      </c>
      <c r="G104" t="s">
        <v>214</v>
      </c>
      <c r="H104" t="s">
        <v>487</v>
      </c>
      <c r="I104" t="s">
        <v>488</v>
      </c>
      <c r="J104" s="6">
        <v>11.73</v>
      </c>
      <c r="K104" s="6">
        <v>8.9</v>
      </c>
    </row>
    <row r="105" spans="1:11" x14ac:dyDescent="0.2">
      <c r="A105">
        <v>1</v>
      </c>
      <c r="B105" t="s">
        <v>484</v>
      </c>
      <c r="C105" t="s">
        <v>362</v>
      </c>
      <c r="D105" t="s">
        <v>6</v>
      </c>
      <c r="E105" t="s">
        <v>296</v>
      </c>
      <c r="F105" t="s">
        <v>11</v>
      </c>
      <c r="G105" t="s">
        <v>328</v>
      </c>
      <c r="H105" t="s">
        <v>487</v>
      </c>
      <c r="I105" t="s">
        <v>488</v>
      </c>
      <c r="J105" s="6">
        <v>9.7899999999999991</v>
      </c>
      <c r="K105" s="6">
        <v>7</v>
      </c>
    </row>
    <row r="106" spans="1:11" x14ac:dyDescent="0.2">
      <c r="A106">
        <v>1</v>
      </c>
      <c r="B106" t="s">
        <v>484</v>
      </c>
      <c r="C106" t="s">
        <v>434</v>
      </c>
      <c r="D106" t="s">
        <v>4</v>
      </c>
      <c r="E106" t="s">
        <v>298</v>
      </c>
      <c r="F106" t="s">
        <v>4</v>
      </c>
      <c r="G106" t="s">
        <v>64</v>
      </c>
      <c r="H106" t="s">
        <v>487</v>
      </c>
      <c r="I106" t="s">
        <v>488</v>
      </c>
      <c r="J106" s="6">
        <v>18.149999999999999</v>
      </c>
      <c r="K106" s="6">
        <v>14.16</v>
      </c>
    </row>
    <row r="107" spans="1:11" x14ac:dyDescent="0.2">
      <c r="A107">
        <v>1</v>
      </c>
      <c r="B107" t="s">
        <v>484</v>
      </c>
      <c r="C107" t="s">
        <v>353</v>
      </c>
      <c r="D107" t="s">
        <v>5</v>
      </c>
      <c r="E107" t="s">
        <v>299</v>
      </c>
      <c r="F107" t="s">
        <v>5</v>
      </c>
      <c r="G107" t="s">
        <v>194</v>
      </c>
      <c r="H107" t="s">
        <v>487</v>
      </c>
      <c r="I107" t="s">
        <v>488</v>
      </c>
      <c r="J107" s="6">
        <v>11.28</v>
      </c>
      <c r="K107" s="6">
        <v>7.8</v>
      </c>
    </row>
    <row r="108" spans="1:11" x14ac:dyDescent="0.2">
      <c r="A108">
        <v>1</v>
      </c>
      <c r="B108" t="s">
        <v>484</v>
      </c>
      <c r="C108" t="s">
        <v>436</v>
      </c>
      <c r="D108" t="s">
        <v>9</v>
      </c>
      <c r="E108" t="s">
        <v>301</v>
      </c>
      <c r="F108" t="s">
        <v>9</v>
      </c>
      <c r="G108" t="s">
        <v>333</v>
      </c>
      <c r="H108" t="s">
        <v>487</v>
      </c>
      <c r="I108" t="s">
        <v>488</v>
      </c>
      <c r="J108" s="6">
        <v>8.65</v>
      </c>
      <c r="K108" s="6">
        <v>3.1</v>
      </c>
    </row>
    <row r="109" spans="1:11" x14ac:dyDescent="0.2">
      <c r="A109">
        <v>1</v>
      </c>
      <c r="B109" t="s">
        <v>484</v>
      </c>
      <c r="C109" t="s">
        <v>54</v>
      </c>
      <c r="D109" t="s">
        <v>6</v>
      </c>
      <c r="E109" t="s">
        <v>125</v>
      </c>
      <c r="F109" t="s">
        <v>11</v>
      </c>
      <c r="G109" t="s">
        <v>193</v>
      </c>
      <c r="H109" t="s">
        <v>487</v>
      </c>
      <c r="I109" t="s">
        <v>488</v>
      </c>
      <c r="J109" s="6">
        <v>8.82</v>
      </c>
      <c r="K109" s="6">
        <v>2.7</v>
      </c>
    </row>
    <row r="110" spans="1:11" x14ac:dyDescent="0.2">
      <c r="A110">
        <v>1</v>
      </c>
      <c r="B110" t="s">
        <v>484</v>
      </c>
      <c r="C110" t="s">
        <v>378</v>
      </c>
      <c r="D110" t="s">
        <v>5</v>
      </c>
      <c r="E110" t="s">
        <v>358</v>
      </c>
      <c r="F110" t="s">
        <v>16</v>
      </c>
      <c r="G110" t="s">
        <v>321</v>
      </c>
      <c r="H110" t="s">
        <v>487</v>
      </c>
      <c r="I110" t="s">
        <v>488</v>
      </c>
      <c r="J110" s="6">
        <v>7.81</v>
      </c>
      <c r="K110" s="6">
        <v>12.1</v>
      </c>
    </row>
    <row r="111" spans="1:11" x14ac:dyDescent="0.2">
      <c r="A111">
        <v>1</v>
      </c>
      <c r="B111" t="s">
        <v>484</v>
      </c>
      <c r="C111" t="s">
        <v>373</v>
      </c>
      <c r="D111" t="s">
        <v>4</v>
      </c>
      <c r="E111" t="s">
        <v>288</v>
      </c>
      <c r="F111" t="s">
        <v>16</v>
      </c>
      <c r="G111" t="s">
        <v>129</v>
      </c>
      <c r="H111" t="s">
        <v>487</v>
      </c>
      <c r="I111" t="s">
        <v>488</v>
      </c>
      <c r="J111" s="6">
        <v>15.78</v>
      </c>
      <c r="K111" s="6">
        <v>16.440000000000001</v>
      </c>
    </row>
    <row r="112" spans="1:11" x14ac:dyDescent="0.2">
      <c r="A112">
        <v>1</v>
      </c>
      <c r="B112" t="s">
        <v>484</v>
      </c>
      <c r="C112" t="s">
        <v>406</v>
      </c>
      <c r="D112" t="s">
        <v>6</v>
      </c>
      <c r="E112" t="s">
        <v>289</v>
      </c>
      <c r="F112" t="s">
        <v>16</v>
      </c>
      <c r="G112" t="s">
        <v>278</v>
      </c>
      <c r="H112" t="s">
        <v>487</v>
      </c>
      <c r="I112" t="s">
        <v>488</v>
      </c>
      <c r="J112" s="6">
        <v>7.37</v>
      </c>
      <c r="K112" s="6">
        <v>29.8</v>
      </c>
    </row>
    <row r="113" spans="1:11" x14ac:dyDescent="0.2">
      <c r="A113">
        <v>1</v>
      </c>
      <c r="B113" t="s">
        <v>484</v>
      </c>
      <c r="C113" t="s">
        <v>412</v>
      </c>
      <c r="D113" t="s">
        <v>12</v>
      </c>
      <c r="E113" t="s">
        <v>284</v>
      </c>
      <c r="F113" t="s">
        <v>12</v>
      </c>
      <c r="G113" t="s">
        <v>63</v>
      </c>
      <c r="H113" t="s">
        <v>487</v>
      </c>
      <c r="I113" t="s">
        <v>488</v>
      </c>
      <c r="J113" s="6">
        <v>6.14</v>
      </c>
      <c r="K113" s="6">
        <v>5</v>
      </c>
    </row>
    <row r="114" spans="1:11" x14ac:dyDescent="0.2">
      <c r="A114">
        <v>1</v>
      </c>
      <c r="B114" t="s">
        <v>484</v>
      </c>
      <c r="C114" t="s">
        <v>384</v>
      </c>
      <c r="D114" t="s">
        <v>6</v>
      </c>
      <c r="E114" t="s">
        <v>292</v>
      </c>
      <c r="F114" t="s">
        <v>16</v>
      </c>
      <c r="G114" t="s">
        <v>219</v>
      </c>
      <c r="H114" t="s">
        <v>487</v>
      </c>
      <c r="I114" t="s">
        <v>488</v>
      </c>
      <c r="J114" s="6">
        <v>7.64</v>
      </c>
      <c r="K114" s="6">
        <v>0.9</v>
      </c>
    </row>
    <row r="115" spans="1:11" x14ac:dyDescent="0.2">
      <c r="A115">
        <v>1</v>
      </c>
      <c r="B115" t="s">
        <v>484</v>
      </c>
      <c r="C115" t="s">
        <v>433</v>
      </c>
      <c r="D115" t="s">
        <v>13</v>
      </c>
      <c r="E115" t="s">
        <v>299</v>
      </c>
      <c r="F115" t="s">
        <v>13</v>
      </c>
      <c r="G115" t="s">
        <v>242</v>
      </c>
      <c r="H115" t="s">
        <v>487</v>
      </c>
      <c r="I115" t="s">
        <v>488</v>
      </c>
      <c r="J115" s="6">
        <v>9.02</v>
      </c>
      <c r="K115" s="6">
        <v>8</v>
      </c>
    </row>
    <row r="116" spans="1:11" x14ac:dyDescent="0.2">
      <c r="A116">
        <v>1</v>
      </c>
      <c r="B116" t="s">
        <v>256</v>
      </c>
      <c r="C116" t="s">
        <v>104</v>
      </c>
      <c r="D116" t="s">
        <v>5</v>
      </c>
      <c r="E116" t="s">
        <v>125</v>
      </c>
      <c r="F116" t="s">
        <v>5</v>
      </c>
      <c r="G116" t="s">
        <v>316</v>
      </c>
      <c r="H116" t="s">
        <v>343</v>
      </c>
      <c r="I116" t="s">
        <v>489</v>
      </c>
      <c r="J116" s="6">
        <v>16.100000000000001</v>
      </c>
      <c r="K116" s="6">
        <v>8.3000000000000007</v>
      </c>
    </row>
    <row r="117" spans="1:11" x14ac:dyDescent="0.2">
      <c r="A117">
        <v>1</v>
      </c>
      <c r="B117" t="s">
        <v>256</v>
      </c>
      <c r="C117" t="s">
        <v>375</v>
      </c>
      <c r="D117" t="s">
        <v>5</v>
      </c>
      <c r="E117" t="s">
        <v>298</v>
      </c>
      <c r="F117" t="s">
        <v>5</v>
      </c>
      <c r="G117" t="s">
        <v>208</v>
      </c>
      <c r="H117" t="s">
        <v>343</v>
      </c>
      <c r="I117" t="s">
        <v>489</v>
      </c>
      <c r="J117" s="6">
        <v>14.15</v>
      </c>
      <c r="K117" s="6">
        <v>16.3</v>
      </c>
    </row>
    <row r="118" spans="1:11" x14ac:dyDescent="0.2">
      <c r="A118">
        <v>1</v>
      </c>
      <c r="B118" t="s">
        <v>256</v>
      </c>
      <c r="C118" t="s">
        <v>7</v>
      </c>
      <c r="D118" t="s">
        <v>6</v>
      </c>
      <c r="E118" t="s">
        <v>123</v>
      </c>
      <c r="F118" t="s">
        <v>6</v>
      </c>
      <c r="G118" t="s">
        <v>94</v>
      </c>
      <c r="H118" t="s">
        <v>343</v>
      </c>
      <c r="I118" t="s">
        <v>489</v>
      </c>
      <c r="J118" s="6">
        <v>11.8</v>
      </c>
      <c r="K118" s="6">
        <v>4.0999999999999996</v>
      </c>
    </row>
    <row r="119" spans="1:11" x14ac:dyDescent="0.2">
      <c r="A119">
        <v>1</v>
      </c>
      <c r="B119" t="s">
        <v>256</v>
      </c>
      <c r="C119" t="s">
        <v>81</v>
      </c>
      <c r="D119" t="s">
        <v>4</v>
      </c>
      <c r="E119" t="s">
        <v>62</v>
      </c>
      <c r="F119" t="s">
        <v>4</v>
      </c>
      <c r="G119" t="s">
        <v>258</v>
      </c>
      <c r="H119" t="s">
        <v>343</v>
      </c>
      <c r="I119" t="s">
        <v>489</v>
      </c>
      <c r="J119" s="6">
        <v>16.25</v>
      </c>
      <c r="K119" s="6">
        <v>9.82</v>
      </c>
    </row>
    <row r="120" spans="1:11" x14ac:dyDescent="0.2">
      <c r="A120">
        <v>1</v>
      </c>
      <c r="B120" t="s">
        <v>256</v>
      </c>
      <c r="C120" t="s">
        <v>370</v>
      </c>
      <c r="D120" t="s">
        <v>6</v>
      </c>
      <c r="E120" t="s">
        <v>294</v>
      </c>
      <c r="F120" t="s">
        <v>6</v>
      </c>
      <c r="G120" t="s">
        <v>95</v>
      </c>
      <c r="H120" t="s">
        <v>343</v>
      </c>
      <c r="I120" t="s">
        <v>489</v>
      </c>
      <c r="J120" s="6">
        <v>9.64</v>
      </c>
      <c r="K120" s="6">
        <v>2.1</v>
      </c>
    </row>
    <row r="121" spans="1:11" x14ac:dyDescent="0.2">
      <c r="A121">
        <v>1</v>
      </c>
      <c r="B121" t="s">
        <v>256</v>
      </c>
      <c r="C121" t="s">
        <v>101</v>
      </c>
      <c r="D121" t="s">
        <v>6</v>
      </c>
      <c r="E121" t="s">
        <v>24</v>
      </c>
      <c r="F121" t="s">
        <v>11</v>
      </c>
      <c r="G121" t="s">
        <v>166</v>
      </c>
      <c r="H121" t="s">
        <v>343</v>
      </c>
      <c r="I121" t="s">
        <v>489</v>
      </c>
      <c r="J121" s="6">
        <v>9.2799999999999994</v>
      </c>
      <c r="K121" s="6">
        <v>29.7</v>
      </c>
    </row>
    <row r="122" spans="1:11" x14ac:dyDescent="0.2">
      <c r="A122">
        <v>1</v>
      </c>
      <c r="B122" t="s">
        <v>256</v>
      </c>
      <c r="C122" t="s">
        <v>385</v>
      </c>
      <c r="D122" t="s">
        <v>9</v>
      </c>
      <c r="E122" t="s">
        <v>284</v>
      </c>
      <c r="F122" t="s">
        <v>9</v>
      </c>
      <c r="G122" t="s">
        <v>57</v>
      </c>
      <c r="H122" t="s">
        <v>343</v>
      </c>
      <c r="I122" t="s">
        <v>489</v>
      </c>
      <c r="J122" s="6">
        <v>8.85</v>
      </c>
      <c r="K122" s="6">
        <v>21.7</v>
      </c>
    </row>
    <row r="123" spans="1:11" x14ac:dyDescent="0.2">
      <c r="A123">
        <v>1</v>
      </c>
      <c r="B123" t="s">
        <v>256</v>
      </c>
      <c r="C123" t="s">
        <v>390</v>
      </c>
      <c r="D123" t="s">
        <v>6</v>
      </c>
      <c r="E123" t="s">
        <v>358</v>
      </c>
      <c r="F123" t="s">
        <v>11</v>
      </c>
      <c r="G123" t="s">
        <v>26</v>
      </c>
      <c r="H123" t="s">
        <v>343</v>
      </c>
      <c r="I123" t="s">
        <v>489</v>
      </c>
      <c r="J123" s="6">
        <v>7.49</v>
      </c>
      <c r="K123" s="6">
        <v>13.5</v>
      </c>
    </row>
    <row r="124" spans="1:11" x14ac:dyDescent="0.2">
      <c r="A124">
        <v>1</v>
      </c>
      <c r="B124" t="s">
        <v>256</v>
      </c>
      <c r="C124" t="s">
        <v>411</v>
      </c>
      <c r="D124" t="s">
        <v>13</v>
      </c>
      <c r="E124" t="s">
        <v>286</v>
      </c>
      <c r="F124" t="s">
        <v>13</v>
      </c>
      <c r="G124" t="s">
        <v>232</v>
      </c>
      <c r="H124" t="s">
        <v>343</v>
      </c>
      <c r="I124" t="s">
        <v>489</v>
      </c>
      <c r="J124" s="6">
        <v>9.77</v>
      </c>
      <c r="K124" s="6">
        <v>9</v>
      </c>
    </row>
    <row r="125" spans="1:11" x14ac:dyDescent="0.2">
      <c r="A125">
        <v>1</v>
      </c>
      <c r="B125" t="s">
        <v>256</v>
      </c>
      <c r="C125" t="s">
        <v>72</v>
      </c>
      <c r="D125" t="s">
        <v>6</v>
      </c>
      <c r="E125" t="s">
        <v>25</v>
      </c>
      <c r="F125" t="s">
        <v>16</v>
      </c>
      <c r="G125" t="s">
        <v>209</v>
      </c>
      <c r="H125" t="s">
        <v>343</v>
      </c>
      <c r="I125" t="s">
        <v>489</v>
      </c>
      <c r="J125" s="6">
        <v>7.95</v>
      </c>
      <c r="K125" s="6">
        <v>3.3</v>
      </c>
    </row>
    <row r="126" spans="1:11" x14ac:dyDescent="0.2">
      <c r="A126">
        <v>1</v>
      </c>
      <c r="B126" t="s">
        <v>256</v>
      </c>
      <c r="C126" t="s">
        <v>417</v>
      </c>
      <c r="D126" t="s">
        <v>6</v>
      </c>
      <c r="E126" t="s">
        <v>301</v>
      </c>
      <c r="F126" t="s">
        <v>16</v>
      </c>
      <c r="G126" t="s">
        <v>107</v>
      </c>
      <c r="H126" t="s">
        <v>343</v>
      </c>
      <c r="I126" t="s">
        <v>489</v>
      </c>
      <c r="J126" s="6">
        <v>6.6</v>
      </c>
      <c r="K126" s="6">
        <v>3.6</v>
      </c>
    </row>
    <row r="127" spans="1:11" x14ac:dyDescent="0.2">
      <c r="A127">
        <v>1</v>
      </c>
      <c r="B127" t="s">
        <v>256</v>
      </c>
      <c r="C127" t="s">
        <v>357</v>
      </c>
      <c r="D127" t="s">
        <v>12</v>
      </c>
      <c r="E127" t="s">
        <v>290</v>
      </c>
      <c r="F127" t="s">
        <v>12</v>
      </c>
      <c r="G127" t="s">
        <v>69</v>
      </c>
      <c r="H127" t="s">
        <v>343</v>
      </c>
      <c r="I127" t="s">
        <v>489</v>
      </c>
      <c r="J127" s="6">
        <v>6.65</v>
      </c>
      <c r="K127" s="6">
        <v>8</v>
      </c>
    </row>
    <row r="128" spans="1:11" x14ac:dyDescent="0.2">
      <c r="A128">
        <v>1</v>
      </c>
      <c r="B128" t="s">
        <v>256</v>
      </c>
      <c r="C128" t="s">
        <v>86</v>
      </c>
      <c r="D128" t="s">
        <v>6</v>
      </c>
      <c r="E128" t="s">
        <v>55</v>
      </c>
      <c r="F128" t="s">
        <v>16</v>
      </c>
      <c r="G128" t="s">
        <v>244</v>
      </c>
      <c r="H128" t="s">
        <v>343</v>
      </c>
      <c r="I128" t="s">
        <v>489</v>
      </c>
      <c r="J128" s="6">
        <v>7.58</v>
      </c>
      <c r="K128" s="6">
        <v>4.2</v>
      </c>
    </row>
    <row r="129" spans="1:11" x14ac:dyDescent="0.2">
      <c r="A129">
        <v>1</v>
      </c>
      <c r="B129" t="s">
        <v>256</v>
      </c>
      <c r="C129" t="s">
        <v>350</v>
      </c>
      <c r="D129" t="s">
        <v>5</v>
      </c>
      <c r="E129" t="s">
        <v>300</v>
      </c>
      <c r="F129" t="s">
        <v>16</v>
      </c>
      <c r="G129" t="s">
        <v>142</v>
      </c>
      <c r="H129" t="s">
        <v>343</v>
      </c>
      <c r="I129" t="s">
        <v>489</v>
      </c>
      <c r="J129" s="6">
        <v>6.84</v>
      </c>
      <c r="K129" s="6">
        <v>8</v>
      </c>
    </row>
    <row r="130" spans="1:11" x14ac:dyDescent="0.2">
      <c r="A130">
        <v>1</v>
      </c>
      <c r="B130" t="s">
        <v>343</v>
      </c>
      <c r="C130" t="s">
        <v>435</v>
      </c>
      <c r="D130" t="s">
        <v>5</v>
      </c>
      <c r="E130" t="s">
        <v>290</v>
      </c>
      <c r="F130" t="s">
        <v>5</v>
      </c>
      <c r="G130" t="s">
        <v>65</v>
      </c>
      <c r="H130" t="s">
        <v>414</v>
      </c>
      <c r="I130" t="s">
        <v>490</v>
      </c>
      <c r="J130" s="6">
        <v>15.72</v>
      </c>
      <c r="K130" s="6">
        <v>34.799999999999997</v>
      </c>
    </row>
    <row r="131" spans="1:11" x14ac:dyDescent="0.2">
      <c r="A131">
        <v>1</v>
      </c>
      <c r="B131" t="s">
        <v>343</v>
      </c>
      <c r="C131" t="s">
        <v>379</v>
      </c>
      <c r="D131" t="s">
        <v>5</v>
      </c>
      <c r="E131" t="s">
        <v>287</v>
      </c>
      <c r="F131" t="s">
        <v>5</v>
      </c>
      <c r="G131" t="s">
        <v>215</v>
      </c>
      <c r="H131" t="s">
        <v>414</v>
      </c>
      <c r="I131" t="s">
        <v>490</v>
      </c>
      <c r="J131" s="6">
        <v>16.32</v>
      </c>
      <c r="K131" s="6">
        <v>8.6</v>
      </c>
    </row>
    <row r="132" spans="1:11" x14ac:dyDescent="0.2">
      <c r="A132">
        <v>1</v>
      </c>
      <c r="B132" t="s">
        <v>343</v>
      </c>
      <c r="C132" t="s">
        <v>396</v>
      </c>
      <c r="D132" t="s">
        <v>4</v>
      </c>
      <c r="E132" t="s">
        <v>290</v>
      </c>
      <c r="F132" t="s">
        <v>4</v>
      </c>
      <c r="G132" t="s">
        <v>103</v>
      </c>
      <c r="H132" t="s">
        <v>414</v>
      </c>
      <c r="I132" t="s">
        <v>490</v>
      </c>
      <c r="J132" s="6">
        <v>19.13</v>
      </c>
      <c r="K132" s="6">
        <v>24.96</v>
      </c>
    </row>
    <row r="133" spans="1:11" x14ac:dyDescent="0.2">
      <c r="A133">
        <v>1</v>
      </c>
      <c r="B133" t="s">
        <v>343</v>
      </c>
      <c r="C133" t="s">
        <v>406</v>
      </c>
      <c r="D133" t="s">
        <v>6</v>
      </c>
      <c r="E133" t="s">
        <v>289</v>
      </c>
      <c r="F133" t="s">
        <v>6</v>
      </c>
      <c r="G133" t="s">
        <v>317</v>
      </c>
      <c r="H133" t="s">
        <v>414</v>
      </c>
      <c r="I133" t="s">
        <v>490</v>
      </c>
      <c r="J133" s="6">
        <v>12.28</v>
      </c>
      <c r="K133" s="6">
        <v>8</v>
      </c>
    </row>
    <row r="134" spans="1:11" x14ac:dyDescent="0.2">
      <c r="A134">
        <v>1</v>
      </c>
      <c r="B134" t="s">
        <v>343</v>
      </c>
      <c r="C134" t="s">
        <v>418</v>
      </c>
      <c r="D134" t="s">
        <v>4</v>
      </c>
      <c r="E134" t="s">
        <v>285</v>
      </c>
      <c r="F134" t="s">
        <v>16</v>
      </c>
      <c r="G134" t="s">
        <v>42</v>
      </c>
      <c r="H134" t="s">
        <v>414</v>
      </c>
      <c r="I134" t="s">
        <v>490</v>
      </c>
      <c r="J134" s="6">
        <v>16.75</v>
      </c>
      <c r="K134" s="6">
        <v>14.4</v>
      </c>
    </row>
    <row r="135" spans="1:11" x14ac:dyDescent="0.2">
      <c r="A135">
        <v>1</v>
      </c>
      <c r="B135" t="s">
        <v>343</v>
      </c>
      <c r="C135" t="s">
        <v>371</v>
      </c>
      <c r="D135" t="s">
        <v>6</v>
      </c>
      <c r="E135" t="s">
        <v>297</v>
      </c>
      <c r="F135" t="s">
        <v>6</v>
      </c>
      <c r="G135" t="s">
        <v>491</v>
      </c>
      <c r="H135" t="s">
        <v>414</v>
      </c>
      <c r="I135" t="s">
        <v>490</v>
      </c>
      <c r="J135" s="6">
        <v>9.86</v>
      </c>
      <c r="K135" s="6">
        <v>5.8</v>
      </c>
    </row>
    <row r="136" spans="1:11" x14ac:dyDescent="0.2">
      <c r="A136">
        <v>1</v>
      </c>
      <c r="B136" t="s">
        <v>343</v>
      </c>
      <c r="C136" t="s">
        <v>237</v>
      </c>
      <c r="D136" t="s">
        <v>13</v>
      </c>
      <c r="E136" t="s">
        <v>125</v>
      </c>
      <c r="F136" t="s">
        <v>13</v>
      </c>
      <c r="G136" t="s">
        <v>236</v>
      </c>
      <c r="H136" t="s">
        <v>414</v>
      </c>
      <c r="I136" t="s">
        <v>490</v>
      </c>
      <c r="J136" s="6">
        <v>10.26</v>
      </c>
      <c r="K136" s="6">
        <v>2</v>
      </c>
    </row>
    <row r="137" spans="1:11" x14ac:dyDescent="0.2">
      <c r="A137">
        <v>1</v>
      </c>
      <c r="B137" t="s">
        <v>343</v>
      </c>
      <c r="C137" t="s">
        <v>380</v>
      </c>
      <c r="D137" t="s">
        <v>12</v>
      </c>
      <c r="E137" t="s">
        <v>286</v>
      </c>
      <c r="F137" t="s">
        <v>12</v>
      </c>
      <c r="G137" t="s">
        <v>254</v>
      </c>
      <c r="H137" t="s">
        <v>414</v>
      </c>
      <c r="I137" t="s">
        <v>490</v>
      </c>
      <c r="J137" s="6">
        <v>5.25</v>
      </c>
      <c r="K137" s="6">
        <v>-4</v>
      </c>
    </row>
    <row r="138" spans="1:11" x14ac:dyDescent="0.2">
      <c r="A138">
        <v>1</v>
      </c>
      <c r="B138" t="s">
        <v>343</v>
      </c>
      <c r="C138" t="s">
        <v>356</v>
      </c>
      <c r="D138" t="s">
        <v>9</v>
      </c>
      <c r="E138" t="s">
        <v>285</v>
      </c>
      <c r="F138" t="s">
        <v>9</v>
      </c>
      <c r="G138" t="s">
        <v>185</v>
      </c>
      <c r="H138" t="s">
        <v>414</v>
      </c>
      <c r="I138" t="s">
        <v>490</v>
      </c>
      <c r="J138" s="6">
        <v>7.65</v>
      </c>
      <c r="K138" s="6">
        <v>1.6</v>
      </c>
    </row>
    <row r="139" spans="1:11" x14ac:dyDescent="0.2">
      <c r="A139">
        <v>1</v>
      </c>
      <c r="B139" t="s">
        <v>343</v>
      </c>
      <c r="C139" t="s">
        <v>349</v>
      </c>
      <c r="D139" t="s">
        <v>6</v>
      </c>
      <c r="E139" t="s">
        <v>284</v>
      </c>
      <c r="F139" t="s">
        <v>11</v>
      </c>
      <c r="G139" t="s">
        <v>492</v>
      </c>
      <c r="H139" t="s">
        <v>414</v>
      </c>
      <c r="I139" t="s">
        <v>490</v>
      </c>
      <c r="J139" s="6">
        <v>7.07</v>
      </c>
      <c r="K139" s="6">
        <v>1</v>
      </c>
    </row>
    <row r="140" spans="1:11" x14ac:dyDescent="0.2">
      <c r="A140">
        <v>1</v>
      </c>
      <c r="B140" t="s">
        <v>343</v>
      </c>
      <c r="C140" t="s">
        <v>425</v>
      </c>
      <c r="D140" t="s">
        <v>5</v>
      </c>
      <c r="E140" t="s">
        <v>286</v>
      </c>
      <c r="F140" t="s">
        <v>11</v>
      </c>
      <c r="G140" t="s">
        <v>332</v>
      </c>
      <c r="H140" t="s">
        <v>414</v>
      </c>
      <c r="I140" t="s">
        <v>490</v>
      </c>
      <c r="J140" s="6">
        <v>7.53</v>
      </c>
      <c r="K140" s="6">
        <v>4.5</v>
      </c>
    </row>
    <row r="141" spans="1:11" x14ac:dyDescent="0.2">
      <c r="A141">
        <v>1</v>
      </c>
      <c r="B141" t="s">
        <v>343</v>
      </c>
      <c r="C141" t="s">
        <v>70</v>
      </c>
      <c r="D141" t="s">
        <v>6</v>
      </c>
      <c r="E141" t="s">
        <v>41</v>
      </c>
      <c r="F141" t="s">
        <v>16</v>
      </c>
      <c r="G141" t="s">
        <v>259</v>
      </c>
      <c r="H141" t="s">
        <v>414</v>
      </c>
      <c r="I141" t="s">
        <v>490</v>
      </c>
      <c r="J141" s="6">
        <v>0</v>
      </c>
      <c r="K141" s="6">
        <v>0</v>
      </c>
    </row>
    <row r="142" spans="1:11" x14ac:dyDescent="0.2">
      <c r="A142">
        <v>1</v>
      </c>
      <c r="B142" t="s">
        <v>343</v>
      </c>
      <c r="C142" t="s">
        <v>460</v>
      </c>
      <c r="D142" t="s">
        <v>9</v>
      </c>
      <c r="E142" t="s">
        <v>123</v>
      </c>
      <c r="F142" t="s">
        <v>16</v>
      </c>
      <c r="G142" t="s">
        <v>493</v>
      </c>
      <c r="H142" t="s">
        <v>414</v>
      </c>
      <c r="I142" t="s">
        <v>490</v>
      </c>
      <c r="J142" s="6">
        <v>6.7</v>
      </c>
      <c r="K142" s="6">
        <v>0</v>
      </c>
    </row>
    <row r="143" spans="1:11" x14ac:dyDescent="0.2">
      <c r="A143">
        <v>1</v>
      </c>
      <c r="B143" t="s">
        <v>343</v>
      </c>
      <c r="C143" t="s">
        <v>375</v>
      </c>
      <c r="D143" t="s">
        <v>5</v>
      </c>
      <c r="E143" t="s">
        <v>298</v>
      </c>
      <c r="F143" t="s">
        <v>16</v>
      </c>
      <c r="G143" t="s">
        <v>164</v>
      </c>
      <c r="H143" t="s">
        <v>414</v>
      </c>
      <c r="I143" t="s">
        <v>490</v>
      </c>
      <c r="J143" s="6">
        <v>5.37</v>
      </c>
      <c r="K143" s="6">
        <v>6.5</v>
      </c>
    </row>
    <row r="144" spans="1:11" x14ac:dyDescent="0.2">
      <c r="A144">
        <v>1</v>
      </c>
      <c r="B144" t="s">
        <v>308</v>
      </c>
      <c r="C144" t="s">
        <v>363</v>
      </c>
      <c r="D144" t="s">
        <v>6</v>
      </c>
      <c r="E144" t="s">
        <v>288</v>
      </c>
      <c r="F144" t="s">
        <v>6</v>
      </c>
      <c r="G144" t="s">
        <v>77</v>
      </c>
      <c r="H144" t="s">
        <v>494</v>
      </c>
      <c r="I144" t="s">
        <v>495</v>
      </c>
      <c r="J144" s="6">
        <v>15.43</v>
      </c>
      <c r="K144" s="6">
        <v>23.7</v>
      </c>
    </row>
    <row r="145" spans="1:11" x14ac:dyDescent="0.2">
      <c r="A145">
        <v>1</v>
      </c>
      <c r="B145" t="s">
        <v>308</v>
      </c>
      <c r="C145" t="s">
        <v>79</v>
      </c>
      <c r="D145" t="s">
        <v>6</v>
      </c>
      <c r="E145" t="s">
        <v>62</v>
      </c>
      <c r="F145" t="s">
        <v>6</v>
      </c>
      <c r="G145" t="s">
        <v>29</v>
      </c>
      <c r="H145" t="s">
        <v>494</v>
      </c>
      <c r="I145" t="s">
        <v>495</v>
      </c>
      <c r="J145" s="6">
        <v>11.54</v>
      </c>
      <c r="K145" s="6">
        <v>4.0999999999999996</v>
      </c>
    </row>
    <row r="146" spans="1:11" x14ac:dyDescent="0.2">
      <c r="A146">
        <v>1</v>
      </c>
      <c r="B146" t="s">
        <v>308</v>
      </c>
      <c r="C146" t="s">
        <v>420</v>
      </c>
      <c r="D146" t="s">
        <v>5</v>
      </c>
      <c r="E146" t="s">
        <v>360</v>
      </c>
      <c r="F146" t="s">
        <v>5</v>
      </c>
      <c r="G146" t="s">
        <v>327</v>
      </c>
      <c r="H146" t="s">
        <v>494</v>
      </c>
      <c r="I146" t="s">
        <v>495</v>
      </c>
      <c r="J146" s="6">
        <v>10.9</v>
      </c>
      <c r="K146" s="6">
        <v>9.3000000000000007</v>
      </c>
    </row>
    <row r="147" spans="1:11" x14ac:dyDescent="0.2">
      <c r="A147">
        <v>1</v>
      </c>
      <c r="B147" t="s">
        <v>308</v>
      </c>
      <c r="C147" t="s">
        <v>351</v>
      </c>
      <c r="D147" t="s">
        <v>5</v>
      </c>
      <c r="E147" t="s">
        <v>292</v>
      </c>
      <c r="F147" t="s">
        <v>5</v>
      </c>
      <c r="G147" t="s">
        <v>496</v>
      </c>
      <c r="H147" t="s">
        <v>494</v>
      </c>
      <c r="I147" t="s">
        <v>495</v>
      </c>
      <c r="J147" s="6">
        <v>13.2</v>
      </c>
      <c r="K147" s="6">
        <v>6.8</v>
      </c>
    </row>
    <row r="148" spans="1:11" x14ac:dyDescent="0.2">
      <c r="A148">
        <v>1</v>
      </c>
      <c r="B148" t="s">
        <v>308</v>
      </c>
      <c r="C148" t="s">
        <v>359</v>
      </c>
      <c r="D148" t="s">
        <v>6</v>
      </c>
      <c r="E148" t="s">
        <v>360</v>
      </c>
      <c r="F148" t="s">
        <v>11</v>
      </c>
      <c r="G148" t="s">
        <v>342</v>
      </c>
      <c r="H148" t="s">
        <v>494</v>
      </c>
      <c r="I148" t="s">
        <v>495</v>
      </c>
      <c r="J148" s="6">
        <v>9.4700000000000006</v>
      </c>
      <c r="K148" s="6">
        <v>16.8</v>
      </c>
    </row>
    <row r="149" spans="1:11" x14ac:dyDescent="0.2">
      <c r="A149">
        <v>1</v>
      </c>
      <c r="B149" t="s">
        <v>308</v>
      </c>
      <c r="C149" t="s">
        <v>393</v>
      </c>
      <c r="D149" t="s">
        <v>5</v>
      </c>
      <c r="E149" t="s">
        <v>289</v>
      </c>
      <c r="F149" t="s">
        <v>16</v>
      </c>
      <c r="G149" t="s">
        <v>226</v>
      </c>
      <c r="H149" t="s">
        <v>494</v>
      </c>
      <c r="I149" t="s">
        <v>495</v>
      </c>
      <c r="J149" s="6">
        <v>9.6199999999999992</v>
      </c>
      <c r="K149" s="6">
        <v>6.7</v>
      </c>
    </row>
    <row r="150" spans="1:11" x14ac:dyDescent="0.2">
      <c r="A150">
        <v>1</v>
      </c>
      <c r="B150" t="s">
        <v>308</v>
      </c>
      <c r="C150" t="s">
        <v>102</v>
      </c>
      <c r="D150" t="s">
        <v>5</v>
      </c>
      <c r="E150" t="s">
        <v>24</v>
      </c>
      <c r="F150" t="s">
        <v>16</v>
      </c>
      <c r="G150" t="s">
        <v>43</v>
      </c>
      <c r="H150" t="s">
        <v>494</v>
      </c>
      <c r="I150" t="s">
        <v>495</v>
      </c>
      <c r="J150" s="6">
        <v>0</v>
      </c>
      <c r="K150" s="6">
        <v>0</v>
      </c>
    </row>
    <row r="151" spans="1:11" x14ac:dyDescent="0.2">
      <c r="A151">
        <v>1</v>
      </c>
      <c r="B151" t="s">
        <v>308</v>
      </c>
      <c r="C151" t="s">
        <v>101</v>
      </c>
      <c r="D151" t="s">
        <v>6</v>
      </c>
      <c r="E151" t="s">
        <v>24</v>
      </c>
      <c r="F151" t="s">
        <v>11</v>
      </c>
      <c r="G151" t="s">
        <v>312</v>
      </c>
      <c r="H151" t="s">
        <v>494</v>
      </c>
      <c r="I151" t="s">
        <v>495</v>
      </c>
      <c r="J151" s="6">
        <v>9.01</v>
      </c>
      <c r="K151" s="6">
        <v>12.5</v>
      </c>
    </row>
    <row r="152" spans="1:11" x14ac:dyDescent="0.2">
      <c r="A152">
        <v>1</v>
      </c>
      <c r="B152" t="s">
        <v>308</v>
      </c>
      <c r="C152" t="s">
        <v>304</v>
      </c>
      <c r="D152" t="s">
        <v>9</v>
      </c>
      <c r="E152" t="s">
        <v>46</v>
      </c>
      <c r="F152" t="s">
        <v>9</v>
      </c>
      <c r="G152" t="s">
        <v>162</v>
      </c>
      <c r="H152" t="s">
        <v>494</v>
      </c>
      <c r="I152" t="s">
        <v>495</v>
      </c>
      <c r="J152" s="6">
        <v>7.58</v>
      </c>
      <c r="K152" s="6">
        <v>23.8</v>
      </c>
    </row>
    <row r="153" spans="1:11" x14ac:dyDescent="0.2">
      <c r="A153">
        <v>1</v>
      </c>
      <c r="B153" t="s">
        <v>308</v>
      </c>
      <c r="C153" t="s">
        <v>419</v>
      </c>
      <c r="D153" t="s">
        <v>9</v>
      </c>
      <c r="E153" t="s">
        <v>283</v>
      </c>
      <c r="F153" t="s">
        <v>16</v>
      </c>
      <c r="G153" t="s">
        <v>189</v>
      </c>
      <c r="H153" t="s">
        <v>494</v>
      </c>
      <c r="I153" t="s">
        <v>495</v>
      </c>
      <c r="J153" s="6">
        <v>6.94</v>
      </c>
      <c r="K153" s="6">
        <v>15.5</v>
      </c>
    </row>
    <row r="154" spans="1:11" x14ac:dyDescent="0.2">
      <c r="A154">
        <v>1</v>
      </c>
      <c r="B154" t="s">
        <v>308</v>
      </c>
      <c r="C154" t="s">
        <v>83</v>
      </c>
      <c r="D154" t="s">
        <v>4</v>
      </c>
      <c r="E154" t="s">
        <v>25</v>
      </c>
      <c r="F154" t="s">
        <v>16</v>
      </c>
      <c r="G154" t="s">
        <v>82</v>
      </c>
      <c r="H154" t="s">
        <v>494</v>
      </c>
      <c r="I154" t="s">
        <v>495</v>
      </c>
      <c r="J154" s="6">
        <v>15.48</v>
      </c>
      <c r="K154" s="6">
        <v>21.66</v>
      </c>
    </row>
    <row r="155" spans="1:11" x14ac:dyDescent="0.2">
      <c r="A155">
        <v>1</v>
      </c>
      <c r="B155" t="s">
        <v>308</v>
      </c>
      <c r="C155" t="s">
        <v>59</v>
      </c>
      <c r="D155" t="s">
        <v>4</v>
      </c>
      <c r="E155" t="s">
        <v>24</v>
      </c>
      <c r="F155" t="s">
        <v>4</v>
      </c>
      <c r="G155" t="s">
        <v>233</v>
      </c>
      <c r="H155" t="s">
        <v>494</v>
      </c>
      <c r="I155" t="s">
        <v>495</v>
      </c>
      <c r="J155" s="6">
        <v>14.88</v>
      </c>
      <c r="K155" s="6">
        <v>19.48</v>
      </c>
    </row>
    <row r="156" spans="1:11" x14ac:dyDescent="0.2">
      <c r="A156">
        <v>1</v>
      </c>
      <c r="B156" t="s">
        <v>308</v>
      </c>
      <c r="C156" t="s">
        <v>160</v>
      </c>
      <c r="D156" t="s">
        <v>12</v>
      </c>
      <c r="E156" t="s">
        <v>25</v>
      </c>
      <c r="F156" t="s">
        <v>12</v>
      </c>
      <c r="G156" t="s">
        <v>159</v>
      </c>
      <c r="H156" t="s">
        <v>494</v>
      </c>
      <c r="I156" t="s">
        <v>495</v>
      </c>
      <c r="J156" s="6">
        <v>5.29</v>
      </c>
      <c r="K156" s="6">
        <v>14</v>
      </c>
    </row>
    <row r="157" spans="1:11" x14ac:dyDescent="0.2">
      <c r="A157">
        <v>1</v>
      </c>
      <c r="B157" t="s">
        <v>308</v>
      </c>
      <c r="C157" t="s">
        <v>391</v>
      </c>
      <c r="D157" t="s">
        <v>13</v>
      </c>
      <c r="E157" t="s">
        <v>288</v>
      </c>
      <c r="F157" t="s">
        <v>13</v>
      </c>
      <c r="G157" t="s">
        <v>223</v>
      </c>
      <c r="H157" t="s">
        <v>494</v>
      </c>
      <c r="I157" t="s">
        <v>495</v>
      </c>
      <c r="J157" s="6">
        <v>8.73</v>
      </c>
      <c r="K157" s="6">
        <v>7</v>
      </c>
    </row>
    <row r="158" spans="1:11" x14ac:dyDescent="0.2">
      <c r="A158">
        <v>1</v>
      </c>
      <c r="B158" t="s">
        <v>494</v>
      </c>
      <c r="C158" t="s">
        <v>369</v>
      </c>
      <c r="D158" t="s">
        <v>5</v>
      </c>
      <c r="E158" t="s">
        <v>284</v>
      </c>
      <c r="F158" t="s">
        <v>5</v>
      </c>
      <c r="G158" t="s">
        <v>74</v>
      </c>
      <c r="H158" t="s">
        <v>427</v>
      </c>
      <c r="I158" t="s">
        <v>497</v>
      </c>
      <c r="J158" s="6">
        <v>16.399999999999999</v>
      </c>
      <c r="K158" s="6">
        <v>8.5</v>
      </c>
    </row>
    <row r="159" spans="1:11" x14ac:dyDescent="0.2">
      <c r="A159">
        <v>1</v>
      </c>
      <c r="B159" t="s">
        <v>494</v>
      </c>
      <c r="C159" t="s">
        <v>404</v>
      </c>
      <c r="D159" t="s">
        <v>6</v>
      </c>
      <c r="E159" t="s">
        <v>295</v>
      </c>
      <c r="F159" t="s">
        <v>6</v>
      </c>
      <c r="G159" t="s">
        <v>117</v>
      </c>
      <c r="H159" t="s">
        <v>427</v>
      </c>
      <c r="I159" t="s">
        <v>497</v>
      </c>
      <c r="J159" s="6">
        <v>11.04</v>
      </c>
      <c r="K159" s="6">
        <v>4.5</v>
      </c>
    </row>
    <row r="160" spans="1:11" x14ac:dyDescent="0.2">
      <c r="A160">
        <v>1</v>
      </c>
      <c r="B160" t="s">
        <v>494</v>
      </c>
      <c r="C160" t="s">
        <v>54</v>
      </c>
      <c r="D160" t="s">
        <v>6</v>
      </c>
      <c r="E160" t="s">
        <v>125</v>
      </c>
      <c r="F160" t="s">
        <v>6</v>
      </c>
      <c r="G160" t="s">
        <v>238</v>
      </c>
      <c r="H160" t="s">
        <v>427</v>
      </c>
      <c r="I160" t="s">
        <v>497</v>
      </c>
      <c r="J160" s="6">
        <v>11.44</v>
      </c>
      <c r="K160" s="6">
        <v>16.7</v>
      </c>
    </row>
    <row r="161" spans="1:11" x14ac:dyDescent="0.2">
      <c r="A161">
        <v>1</v>
      </c>
      <c r="B161" t="s">
        <v>494</v>
      </c>
      <c r="C161" t="s">
        <v>75</v>
      </c>
      <c r="D161" t="s">
        <v>5</v>
      </c>
      <c r="E161" t="s">
        <v>46</v>
      </c>
      <c r="F161" t="s">
        <v>5</v>
      </c>
      <c r="G161" t="s">
        <v>325</v>
      </c>
      <c r="H161" t="s">
        <v>427</v>
      </c>
      <c r="I161" t="s">
        <v>497</v>
      </c>
      <c r="J161" s="6">
        <v>12.37</v>
      </c>
      <c r="K161" s="6">
        <v>14.1</v>
      </c>
    </row>
    <row r="162" spans="1:11" x14ac:dyDescent="0.2">
      <c r="A162">
        <v>1</v>
      </c>
      <c r="B162" t="s">
        <v>494</v>
      </c>
      <c r="C162" t="s">
        <v>376</v>
      </c>
      <c r="D162" t="s">
        <v>6</v>
      </c>
      <c r="E162" t="s">
        <v>299</v>
      </c>
      <c r="F162" t="s">
        <v>11</v>
      </c>
      <c r="G162" t="s">
        <v>76</v>
      </c>
      <c r="H162" t="s">
        <v>427</v>
      </c>
      <c r="I162" t="s">
        <v>497</v>
      </c>
      <c r="J162" s="6">
        <v>10.29</v>
      </c>
      <c r="K162" s="6">
        <v>6</v>
      </c>
    </row>
    <row r="163" spans="1:11" x14ac:dyDescent="0.2">
      <c r="A163">
        <v>1</v>
      </c>
      <c r="B163" t="s">
        <v>494</v>
      </c>
      <c r="C163" t="s">
        <v>386</v>
      </c>
      <c r="D163" t="s">
        <v>5</v>
      </c>
      <c r="E163" t="s">
        <v>297</v>
      </c>
      <c r="F163" t="s">
        <v>11</v>
      </c>
      <c r="G163" t="s">
        <v>45</v>
      </c>
      <c r="H163" t="s">
        <v>427</v>
      </c>
      <c r="I163" t="s">
        <v>497</v>
      </c>
      <c r="J163" s="6">
        <v>10.68</v>
      </c>
      <c r="K163" s="6">
        <v>3.9</v>
      </c>
    </row>
    <row r="164" spans="1:11" x14ac:dyDescent="0.2">
      <c r="A164">
        <v>1</v>
      </c>
      <c r="B164" t="s">
        <v>494</v>
      </c>
      <c r="C164" t="s">
        <v>394</v>
      </c>
      <c r="D164" t="s">
        <v>4</v>
      </c>
      <c r="E164" t="s">
        <v>360</v>
      </c>
      <c r="F164" t="s">
        <v>4</v>
      </c>
      <c r="G164" t="s">
        <v>118</v>
      </c>
      <c r="H164" t="s">
        <v>427</v>
      </c>
      <c r="I164" t="s">
        <v>497</v>
      </c>
      <c r="J164" s="6">
        <v>16.91</v>
      </c>
      <c r="K164" s="6">
        <v>26.1</v>
      </c>
    </row>
    <row r="165" spans="1:11" x14ac:dyDescent="0.2">
      <c r="A165">
        <v>1</v>
      </c>
      <c r="B165" t="s">
        <v>494</v>
      </c>
      <c r="C165" t="s">
        <v>8</v>
      </c>
      <c r="D165" t="s">
        <v>6</v>
      </c>
      <c r="E165" t="s">
        <v>52</v>
      </c>
      <c r="F165" t="s">
        <v>16</v>
      </c>
      <c r="G165" t="s">
        <v>213</v>
      </c>
      <c r="H165" t="s">
        <v>427</v>
      </c>
      <c r="I165" t="s">
        <v>497</v>
      </c>
      <c r="J165" s="6">
        <v>7.38</v>
      </c>
      <c r="K165" s="6">
        <v>15</v>
      </c>
    </row>
    <row r="166" spans="1:11" x14ac:dyDescent="0.2">
      <c r="A166">
        <v>1</v>
      </c>
      <c r="B166" t="s">
        <v>494</v>
      </c>
      <c r="C166" t="s">
        <v>365</v>
      </c>
      <c r="D166" t="s">
        <v>5</v>
      </c>
      <c r="E166" t="s">
        <v>293</v>
      </c>
      <c r="F166" t="s">
        <v>16</v>
      </c>
      <c r="G166" t="s">
        <v>231</v>
      </c>
      <c r="H166" t="s">
        <v>427</v>
      </c>
      <c r="I166" t="s">
        <v>497</v>
      </c>
      <c r="J166" s="6">
        <v>9.08</v>
      </c>
      <c r="K166" s="6">
        <v>11.9</v>
      </c>
    </row>
    <row r="167" spans="1:11" x14ac:dyDescent="0.2">
      <c r="A167">
        <v>1</v>
      </c>
      <c r="B167" t="s">
        <v>494</v>
      </c>
      <c r="C167" t="s">
        <v>417</v>
      </c>
      <c r="D167" t="s">
        <v>6</v>
      </c>
      <c r="E167" t="s">
        <v>301</v>
      </c>
      <c r="F167" t="s">
        <v>16</v>
      </c>
      <c r="G167" t="s">
        <v>498</v>
      </c>
      <c r="H167" t="s">
        <v>427</v>
      </c>
      <c r="I167" t="s">
        <v>497</v>
      </c>
      <c r="J167" s="6">
        <v>7.35</v>
      </c>
      <c r="K167" s="6">
        <v>5.8</v>
      </c>
    </row>
    <row r="168" spans="1:11" x14ac:dyDescent="0.2">
      <c r="A168">
        <v>1</v>
      </c>
      <c r="B168" t="s">
        <v>494</v>
      </c>
      <c r="C168" t="s">
        <v>410</v>
      </c>
      <c r="D168" t="s">
        <v>9</v>
      </c>
      <c r="E168" t="s">
        <v>293</v>
      </c>
      <c r="F168" t="s">
        <v>9</v>
      </c>
      <c r="G168" t="s">
        <v>115</v>
      </c>
      <c r="H168" t="s">
        <v>427</v>
      </c>
      <c r="I168" t="s">
        <v>497</v>
      </c>
      <c r="J168" s="6">
        <v>6.93</v>
      </c>
      <c r="K168" s="6">
        <v>11.6</v>
      </c>
    </row>
    <row r="169" spans="1:11" x14ac:dyDescent="0.2">
      <c r="A169">
        <v>1</v>
      </c>
      <c r="B169" t="s">
        <v>494</v>
      </c>
      <c r="C169" t="s">
        <v>400</v>
      </c>
      <c r="D169" t="s">
        <v>4</v>
      </c>
      <c r="E169" t="s">
        <v>293</v>
      </c>
      <c r="F169" t="s">
        <v>16</v>
      </c>
      <c r="G169" t="s">
        <v>112</v>
      </c>
      <c r="H169" t="s">
        <v>427</v>
      </c>
      <c r="I169" t="s">
        <v>497</v>
      </c>
      <c r="J169" s="6">
        <v>16.399999999999999</v>
      </c>
      <c r="K169" s="6">
        <v>-0.38</v>
      </c>
    </row>
    <row r="170" spans="1:11" x14ac:dyDescent="0.2">
      <c r="A170">
        <v>1</v>
      </c>
      <c r="B170" t="s">
        <v>494</v>
      </c>
      <c r="C170" t="s">
        <v>403</v>
      </c>
      <c r="D170" t="s">
        <v>13</v>
      </c>
      <c r="E170" t="s">
        <v>290</v>
      </c>
      <c r="F170" t="s">
        <v>13</v>
      </c>
      <c r="G170" t="s">
        <v>330</v>
      </c>
      <c r="H170" t="s">
        <v>427</v>
      </c>
      <c r="I170" t="s">
        <v>497</v>
      </c>
      <c r="J170" s="6">
        <v>8.49</v>
      </c>
      <c r="K170" s="6">
        <v>14</v>
      </c>
    </row>
    <row r="171" spans="1:11" x14ac:dyDescent="0.2">
      <c r="A171">
        <v>1</v>
      </c>
      <c r="B171" t="s">
        <v>494</v>
      </c>
      <c r="C171" t="s">
        <v>402</v>
      </c>
      <c r="D171" t="s">
        <v>12</v>
      </c>
      <c r="E171" t="s">
        <v>288</v>
      </c>
      <c r="F171" t="s">
        <v>12</v>
      </c>
      <c r="G171" t="s">
        <v>227</v>
      </c>
      <c r="H171" t="s">
        <v>427</v>
      </c>
      <c r="I171" t="s">
        <v>497</v>
      </c>
      <c r="J171" s="6">
        <v>7.31</v>
      </c>
      <c r="K171" s="6">
        <v>5</v>
      </c>
    </row>
    <row r="172" spans="1:11" x14ac:dyDescent="0.2">
      <c r="A172">
        <v>1</v>
      </c>
      <c r="B172" t="s">
        <v>499</v>
      </c>
      <c r="C172" t="s">
        <v>395</v>
      </c>
      <c r="D172" t="s">
        <v>6</v>
      </c>
      <c r="E172" t="s">
        <v>293</v>
      </c>
      <c r="F172" t="s">
        <v>6</v>
      </c>
      <c r="G172" t="s">
        <v>38</v>
      </c>
      <c r="H172" t="s">
        <v>255</v>
      </c>
      <c r="I172" t="s">
        <v>500</v>
      </c>
      <c r="J172" s="6">
        <v>13.85</v>
      </c>
      <c r="K172" s="6">
        <v>27.2</v>
      </c>
    </row>
    <row r="173" spans="1:11" x14ac:dyDescent="0.2">
      <c r="A173">
        <v>1</v>
      </c>
      <c r="B173" t="s">
        <v>499</v>
      </c>
      <c r="C173" t="s">
        <v>367</v>
      </c>
      <c r="D173" t="s">
        <v>6</v>
      </c>
      <c r="E173" t="s">
        <v>286</v>
      </c>
      <c r="F173" t="s">
        <v>6</v>
      </c>
      <c r="G173" t="s">
        <v>216</v>
      </c>
      <c r="H173" t="s">
        <v>255</v>
      </c>
      <c r="I173" t="s">
        <v>500</v>
      </c>
      <c r="J173" s="6">
        <v>12.95</v>
      </c>
      <c r="K173" s="6">
        <v>17.7</v>
      </c>
    </row>
    <row r="174" spans="1:11" x14ac:dyDescent="0.2">
      <c r="A174">
        <v>1</v>
      </c>
      <c r="B174" t="s">
        <v>499</v>
      </c>
      <c r="C174" t="s">
        <v>374</v>
      </c>
      <c r="D174" t="s">
        <v>5</v>
      </c>
      <c r="E174" t="s">
        <v>301</v>
      </c>
      <c r="F174" t="s">
        <v>5</v>
      </c>
      <c r="G174" t="s">
        <v>326</v>
      </c>
      <c r="H174" t="s">
        <v>255</v>
      </c>
      <c r="I174" t="s">
        <v>500</v>
      </c>
      <c r="J174" s="6">
        <v>12.2</v>
      </c>
      <c r="K174" s="6">
        <v>6</v>
      </c>
    </row>
    <row r="175" spans="1:11" x14ac:dyDescent="0.2">
      <c r="A175">
        <v>1</v>
      </c>
      <c r="B175" t="s">
        <v>499</v>
      </c>
      <c r="C175" t="s">
        <v>105</v>
      </c>
      <c r="D175" t="s">
        <v>5</v>
      </c>
      <c r="E175" t="s">
        <v>41</v>
      </c>
      <c r="F175" t="s">
        <v>5</v>
      </c>
      <c r="G175" t="s">
        <v>221</v>
      </c>
      <c r="H175" t="s">
        <v>255</v>
      </c>
      <c r="I175" t="s">
        <v>500</v>
      </c>
      <c r="J175" s="6">
        <v>12.43</v>
      </c>
      <c r="K175" s="6">
        <v>16.8</v>
      </c>
    </row>
    <row r="176" spans="1:11" x14ac:dyDescent="0.2">
      <c r="A176">
        <v>1</v>
      </c>
      <c r="B176" t="s">
        <v>499</v>
      </c>
      <c r="C176" t="s">
        <v>366</v>
      </c>
      <c r="D176" t="s">
        <v>4</v>
      </c>
      <c r="E176" t="s">
        <v>296</v>
      </c>
      <c r="F176" t="s">
        <v>4</v>
      </c>
      <c r="G176" t="s">
        <v>197</v>
      </c>
      <c r="H176" t="s">
        <v>255</v>
      </c>
      <c r="I176" t="s">
        <v>500</v>
      </c>
      <c r="J176" s="6">
        <v>16.39</v>
      </c>
      <c r="K176" s="6">
        <v>37.26</v>
      </c>
    </row>
    <row r="177" spans="1:11" x14ac:dyDescent="0.2">
      <c r="A177">
        <v>1</v>
      </c>
      <c r="B177" t="s">
        <v>499</v>
      </c>
      <c r="C177" t="s">
        <v>99</v>
      </c>
      <c r="D177" t="s">
        <v>9</v>
      </c>
      <c r="E177" t="s">
        <v>52</v>
      </c>
      <c r="F177" t="s">
        <v>11</v>
      </c>
      <c r="G177" t="s">
        <v>98</v>
      </c>
      <c r="H177" t="s">
        <v>255</v>
      </c>
      <c r="I177" t="s">
        <v>500</v>
      </c>
      <c r="J177" s="6">
        <v>6.61</v>
      </c>
      <c r="K177" s="6">
        <v>2.2000000000000002</v>
      </c>
    </row>
    <row r="178" spans="1:11" x14ac:dyDescent="0.2">
      <c r="A178">
        <v>1</v>
      </c>
      <c r="B178" t="s">
        <v>499</v>
      </c>
      <c r="C178" t="s">
        <v>437</v>
      </c>
      <c r="D178" t="s">
        <v>13</v>
      </c>
      <c r="E178" t="s">
        <v>285</v>
      </c>
      <c r="F178" t="s">
        <v>13</v>
      </c>
      <c r="G178" t="s">
        <v>228</v>
      </c>
      <c r="H178" t="s">
        <v>255</v>
      </c>
      <c r="I178" t="s">
        <v>500</v>
      </c>
      <c r="J178" s="6">
        <v>9.93</v>
      </c>
      <c r="K178" s="6">
        <v>2</v>
      </c>
    </row>
    <row r="179" spans="1:11" x14ac:dyDescent="0.2">
      <c r="A179">
        <v>1</v>
      </c>
      <c r="B179" t="s">
        <v>499</v>
      </c>
      <c r="C179" t="s">
        <v>383</v>
      </c>
      <c r="D179" t="s">
        <v>6</v>
      </c>
      <c r="E179" t="s">
        <v>300</v>
      </c>
      <c r="F179" t="s">
        <v>11</v>
      </c>
      <c r="G179" t="s">
        <v>211</v>
      </c>
      <c r="H179" t="s">
        <v>255</v>
      </c>
      <c r="I179" t="s">
        <v>500</v>
      </c>
      <c r="J179" s="6">
        <v>8.33</v>
      </c>
      <c r="K179" s="6">
        <v>8.1</v>
      </c>
    </row>
    <row r="180" spans="1:11" x14ac:dyDescent="0.2">
      <c r="A180">
        <v>1</v>
      </c>
      <c r="B180" t="s">
        <v>499</v>
      </c>
      <c r="C180" t="s">
        <v>392</v>
      </c>
      <c r="D180" t="s">
        <v>12</v>
      </c>
      <c r="E180" t="s">
        <v>292</v>
      </c>
      <c r="F180" t="s">
        <v>12</v>
      </c>
      <c r="G180" t="s">
        <v>169</v>
      </c>
      <c r="H180" t="s">
        <v>255</v>
      </c>
      <c r="I180" t="s">
        <v>500</v>
      </c>
      <c r="J180" s="6">
        <v>7.22</v>
      </c>
      <c r="K180" s="6">
        <v>14</v>
      </c>
    </row>
    <row r="181" spans="1:11" x14ac:dyDescent="0.2">
      <c r="A181">
        <v>1</v>
      </c>
      <c r="B181" t="s">
        <v>499</v>
      </c>
      <c r="C181" t="s">
        <v>37</v>
      </c>
      <c r="D181" t="s">
        <v>5</v>
      </c>
      <c r="E181" t="s">
        <v>34</v>
      </c>
      <c r="F181" t="s">
        <v>16</v>
      </c>
      <c r="G181" t="s">
        <v>36</v>
      </c>
      <c r="H181" t="s">
        <v>255</v>
      </c>
      <c r="I181" t="s">
        <v>500</v>
      </c>
      <c r="J181" s="6">
        <v>0</v>
      </c>
      <c r="K181" s="6">
        <v>0</v>
      </c>
    </row>
    <row r="182" spans="1:11" x14ac:dyDescent="0.2">
      <c r="A182">
        <v>1</v>
      </c>
      <c r="B182" t="s">
        <v>499</v>
      </c>
      <c r="C182" t="s">
        <v>146</v>
      </c>
      <c r="D182" t="s">
        <v>9</v>
      </c>
      <c r="E182" t="s">
        <v>34</v>
      </c>
      <c r="F182" t="s">
        <v>9</v>
      </c>
      <c r="G182" t="s">
        <v>156</v>
      </c>
      <c r="H182" t="s">
        <v>255</v>
      </c>
      <c r="I182" t="s">
        <v>500</v>
      </c>
      <c r="J182" s="6">
        <v>6.8</v>
      </c>
      <c r="K182" s="6">
        <v>12.9</v>
      </c>
    </row>
    <row r="183" spans="1:11" x14ac:dyDescent="0.2">
      <c r="A183">
        <v>1</v>
      </c>
      <c r="B183" t="s">
        <v>499</v>
      </c>
      <c r="C183" t="s">
        <v>73</v>
      </c>
      <c r="D183" t="s">
        <v>4</v>
      </c>
      <c r="E183" t="s">
        <v>41</v>
      </c>
      <c r="F183" t="s">
        <v>16</v>
      </c>
      <c r="G183" t="s">
        <v>240</v>
      </c>
      <c r="H183" t="s">
        <v>255</v>
      </c>
      <c r="I183" t="s">
        <v>500</v>
      </c>
      <c r="J183" s="6">
        <v>16.28</v>
      </c>
      <c r="K183" s="6">
        <v>11.64</v>
      </c>
    </row>
    <row r="184" spans="1:11" x14ac:dyDescent="0.2">
      <c r="A184">
        <v>1</v>
      </c>
      <c r="B184" t="s">
        <v>499</v>
      </c>
      <c r="C184" t="s">
        <v>381</v>
      </c>
      <c r="D184" t="s">
        <v>5</v>
      </c>
      <c r="E184" t="s">
        <v>295</v>
      </c>
      <c r="F184" t="s">
        <v>16</v>
      </c>
      <c r="G184" t="s">
        <v>145</v>
      </c>
      <c r="H184" t="s">
        <v>255</v>
      </c>
      <c r="I184" t="s">
        <v>500</v>
      </c>
      <c r="J184" s="6">
        <v>4.68</v>
      </c>
      <c r="K184" s="6">
        <v>3.1</v>
      </c>
    </row>
    <row r="185" spans="1:11" x14ac:dyDescent="0.2">
      <c r="A185">
        <v>1</v>
      </c>
      <c r="B185" t="s">
        <v>499</v>
      </c>
      <c r="C185" t="s">
        <v>367</v>
      </c>
      <c r="D185" t="s">
        <v>6</v>
      </c>
      <c r="E185" t="s">
        <v>286</v>
      </c>
      <c r="F185" t="s">
        <v>16</v>
      </c>
      <c r="G185" t="s">
        <v>334</v>
      </c>
      <c r="H185" t="s">
        <v>255</v>
      </c>
      <c r="I185" t="s">
        <v>500</v>
      </c>
      <c r="J185" s="6">
        <v>7.7</v>
      </c>
      <c r="K185" s="6">
        <v>2.6</v>
      </c>
    </row>
    <row r="186" spans="1:11" x14ac:dyDescent="0.2">
      <c r="A186">
        <v>1</v>
      </c>
      <c r="B186" t="s">
        <v>255</v>
      </c>
      <c r="C186" t="s">
        <v>377</v>
      </c>
      <c r="D186" t="s">
        <v>6</v>
      </c>
      <c r="E186" t="s">
        <v>285</v>
      </c>
      <c r="F186" t="s">
        <v>6</v>
      </c>
      <c r="G186" t="s">
        <v>67</v>
      </c>
      <c r="H186" t="s">
        <v>501</v>
      </c>
      <c r="I186" t="s">
        <v>502</v>
      </c>
      <c r="J186" s="6">
        <v>14.18</v>
      </c>
      <c r="K186" s="6">
        <v>12.9</v>
      </c>
    </row>
    <row r="187" spans="1:11" x14ac:dyDescent="0.2">
      <c r="A187">
        <v>1</v>
      </c>
      <c r="B187" t="s">
        <v>255</v>
      </c>
      <c r="C187" t="s">
        <v>350</v>
      </c>
      <c r="D187" t="s">
        <v>5</v>
      </c>
      <c r="E187" t="s">
        <v>300</v>
      </c>
      <c r="F187" t="s">
        <v>5</v>
      </c>
      <c r="G187" t="s">
        <v>503</v>
      </c>
      <c r="H187" t="s">
        <v>501</v>
      </c>
      <c r="I187" t="s">
        <v>502</v>
      </c>
      <c r="J187" s="6">
        <v>12.03</v>
      </c>
      <c r="K187" s="6">
        <v>12</v>
      </c>
    </row>
    <row r="188" spans="1:11" x14ac:dyDescent="0.2">
      <c r="A188">
        <v>1</v>
      </c>
      <c r="B188" t="s">
        <v>255</v>
      </c>
      <c r="C188" t="s">
        <v>150</v>
      </c>
      <c r="D188" t="s">
        <v>6</v>
      </c>
      <c r="E188" t="s">
        <v>46</v>
      </c>
      <c r="F188" t="s">
        <v>6</v>
      </c>
      <c r="G188" t="s">
        <v>212</v>
      </c>
      <c r="H188" t="s">
        <v>501</v>
      </c>
      <c r="I188" t="s">
        <v>502</v>
      </c>
      <c r="J188" s="6">
        <v>10.5</v>
      </c>
      <c r="K188" s="6">
        <v>9.9</v>
      </c>
    </row>
    <row r="189" spans="1:11" x14ac:dyDescent="0.2">
      <c r="A189">
        <v>1</v>
      </c>
      <c r="B189" t="s">
        <v>255</v>
      </c>
      <c r="C189" t="s">
        <v>390</v>
      </c>
      <c r="D189" t="s">
        <v>6</v>
      </c>
      <c r="E189" t="s">
        <v>358</v>
      </c>
      <c r="F189" t="s">
        <v>11</v>
      </c>
      <c r="G189" t="s">
        <v>56</v>
      </c>
      <c r="H189" t="s">
        <v>501</v>
      </c>
      <c r="I189" t="s">
        <v>502</v>
      </c>
      <c r="J189" s="6">
        <v>9.9700000000000006</v>
      </c>
      <c r="K189" s="6">
        <v>2.4</v>
      </c>
    </row>
    <row r="190" spans="1:11" x14ac:dyDescent="0.2">
      <c r="A190">
        <v>1</v>
      </c>
      <c r="B190" t="s">
        <v>255</v>
      </c>
      <c r="C190" t="s">
        <v>431</v>
      </c>
      <c r="D190" t="s">
        <v>4</v>
      </c>
      <c r="E190" t="s">
        <v>284</v>
      </c>
      <c r="F190" t="s">
        <v>4</v>
      </c>
      <c r="G190" t="s">
        <v>35</v>
      </c>
      <c r="H190" t="s">
        <v>501</v>
      </c>
      <c r="I190" t="s">
        <v>502</v>
      </c>
      <c r="J190" s="6">
        <v>21.05</v>
      </c>
      <c r="K190" s="6">
        <v>24.72</v>
      </c>
    </row>
    <row r="191" spans="1:11" x14ac:dyDescent="0.2">
      <c r="A191">
        <v>1</v>
      </c>
      <c r="B191" t="s">
        <v>255</v>
      </c>
      <c r="C191" t="s">
        <v>401</v>
      </c>
      <c r="D191" t="s">
        <v>9</v>
      </c>
      <c r="E191" t="s">
        <v>295</v>
      </c>
      <c r="F191" t="s">
        <v>9</v>
      </c>
      <c r="G191" t="s">
        <v>324</v>
      </c>
      <c r="H191" t="s">
        <v>501</v>
      </c>
      <c r="I191" t="s">
        <v>502</v>
      </c>
      <c r="J191" s="6">
        <v>7.62</v>
      </c>
      <c r="K191" s="6">
        <v>0</v>
      </c>
    </row>
    <row r="192" spans="1:11" x14ac:dyDescent="0.2">
      <c r="A192">
        <v>1</v>
      </c>
      <c r="B192" t="s">
        <v>255</v>
      </c>
      <c r="C192" t="s">
        <v>393</v>
      </c>
      <c r="D192" t="s">
        <v>5</v>
      </c>
      <c r="E192" t="s">
        <v>289</v>
      </c>
      <c r="F192" t="s">
        <v>5</v>
      </c>
      <c r="G192" t="s">
        <v>201</v>
      </c>
      <c r="H192" t="s">
        <v>501</v>
      </c>
      <c r="I192" t="s">
        <v>502</v>
      </c>
      <c r="J192" s="6">
        <v>10.99</v>
      </c>
      <c r="K192" s="6">
        <v>22.2</v>
      </c>
    </row>
    <row r="193" spans="1:11" x14ac:dyDescent="0.2">
      <c r="A193">
        <v>1</v>
      </c>
      <c r="B193" t="s">
        <v>255</v>
      </c>
      <c r="C193" t="s">
        <v>92</v>
      </c>
      <c r="D193" t="s">
        <v>4</v>
      </c>
      <c r="E193" t="s">
        <v>125</v>
      </c>
      <c r="F193" t="s">
        <v>16</v>
      </c>
      <c r="G193" t="s">
        <v>91</v>
      </c>
      <c r="H193" t="s">
        <v>501</v>
      </c>
      <c r="I193" t="s">
        <v>502</v>
      </c>
      <c r="J193" s="6">
        <v>18.989999999999998</v>
      </c>
      <c r="K193" s="6">
        <v>13.26</v>
      </c>
    </row>
    <row r="194" spans="1:11" x14ac:dyDescent="0.2">
      <c r="A194">
        <v>1</v>
      </c>
      <c r="B194" t="s">
        <v>255</v>
      </c>
      <c r="C194" t="s">
        <v>438</v>
      </c>
      <c r="D194" t="s">
        <v>12</v>
      </c>
      <c r="E194" t="s">
        <v>294</v>
      </c>
      <c r="F194" t="s">
        <v>12</v>
      </c>
      <c r="G194" t="s">
        <v>144</v>
      </c>
      <c r="H194" t="s">
        <v>501</v>
      </c>
      <c r="I194" t="s">
        <v>502</v>
      </c>
      <c r="J194" s="6">
        <v>5.86</v>
      </c>
      <c r="K194" s="6">
        <v>2</v>
      </c>
    </row>
    <row r="195" spans="1:11" x14ac:dyDescent="0.2">
      <c r="A195">
        <v>1</v>
      </c>
      <c r="B195" t="s">
        <v>255</v>
      </c>
      <c r="C195" t="s">
        <v>347</v>
      </c>
      <c r="D195" t="s">
        <v>13</v>
      </c>
      <c r="E195" t="s">
        <v>123</v>
      </c>
      <c r="F195" t="s">
        <v>13</v>
      </c>
      <c r="G195" t="s">
        <v>456</v>
      </c>
      <c r="H195" t="s">
        <v>501</v>
      </c>
      <c r="I195" t="s">
        <v>502</v>
      </c>
      <c r="J195" s="6">
        <v>9.41</v>
      </c>
      <c r="K195" s="6">
        <v>1</v>
      </c>
    </row>
    <row r="196" spans="1:11" x14ac:dyDescent="0.2">
      <c r="A196">
        <v>1</v>
      </c>
      <c r="B196" t="s">
        <v>255</v>
      </c>
      <c r="C196" t="s">
        <v>88</v>
      </c>
      <c r="D196" t="s">
        <v>9</v>
      </c>
      <c r="E196" t="s">
        <v>25</v>
      </c>
      <c r="F196" t="s">
        <v>16</v>
      </c>
      <c r="G196" t="s">
        <v>87</v>
      </c>
      <c r="H196" t="s">
        <v>501</v>
      </c>
      <c r="I196" t="s">
        <v>502</v>
      </c>
      <c r="J196" s="6">
        <v>7.71</v>
      </c>
      <c r="K196" s="6">
        <v>8.6</v>
      </c>
    </row>
    <row r="197" spans="1:11" x14ac:dyDescent="0.2">
      <c r="A197">
        <v>1</v>
      </c>
      <c r="B197" t="s">
        <v>255</v>
      </c>
      <c r="C197" t="s">
        <v>44</v>
      </c>
      <c r="D197" t="s">
        <v>5</v>
      </c>
      <c r="E197" t="s">
        <v>55</v>
      </c>
      <c r="F197" t="s">
        <v>16</v>
      </c>
      <c r="G197" t="s">
        <v>504</v>
      </c>
      <c r="H197" t="s">
        <v>501</v>
      </c>
      <c r="I197" t="s">
        <v>502</v>
      </c>
      <c r="J197" s="6">
        <v>6.91</v>
      </c>
      <c r="K197" s="6">
        <v>4.0999999999999996</v>
      </c>
    </row>
    <row r="198" spans="1:11" x14ac:dyDescent="0.2">
      <c r="A198">
        <v>1</v>
      </c>
      <c r="B198" t="s">
        <v>255</v>
      </c>
      <c r="C198" t="s">
        <v>371</v>
      </c>
      <c r="D198" t="s">
        <v>6</v>
      </c>
      <c r="E198" t="s">
        <v>297</v>
      </c>
      <c r="F198" t="s">
        <v>16</v>
      </c>
      <c r="G198" t="s">
        <v>190</v>
      </c>
      <c r="H198" t="s">
        <v>501</v>
      </c>
      <c r="I198" t="s">
        <v>502</v>
      </c>
      <c r="J198" s="6">
        <v>6.82</v>
      </c>
      <c r="K198" s="6">
        <v>0</v>
      </c>
    </row>
    <row r="199" spans="1:11" x14ac:dyDescent="0.2">
      <c r="A199">
        <v>1</v>
      </c>
      <c r="B199" t="s">
        <v>255</v>
      </c>
      <c r="C199" t="s">
        <v>86</v>
      </c>
      <c r="D199" t="s">
        <v>6</v>
      </c>
      <c r="E199" t="s">
        <v>55</v>
      </c>
      <c r="F199" t="s">
        <v>11</v>
      </c>
      <c r="G199" t="s">
        <v>253</v>
      </c>
      <c r="H199" t="s">
        <v>501</v>
      </c>
      <c r="I199" t="s">
        <v>502</v>
      </c>
      <c r="J199" s="6">
        <v>8.3800000000000008</v>
      </c>
      <c r="K199" s="6">
        <v>3.7</v>
      </c>
    </row>
    <row r="200" spans="1:11" x14ac:dyDescent="0.2">
      <c r="A200">
        <v>2</v>
      </c>
      <c r="B200" t="s">
        <v>469</v>
      </c>
      <c r="C200" t="s">
        <v>85</v>
      </c>
      <c r="D200" t="s">
        <v>5</v>
      </c>
      <c r="E200" t="s">
        <v>52</v>
      </c>
      <c r="F200" t="s">
        <v>5</v>
      </c>
      <c r="G200" t="s">
        <v>84</v>
      </c>
      <c r="H200" t="s">
        <v>309</v>
      </c>
      <c r="I200" t="s">
        <v>505</v>
      </c>
      <c r="J200" s="6">
        <v>19.21</v>
      </c>
      <c r="K200" s="6">
        <v>20.6</v>
      </c>
    </row>
    <row r="201" spans="1:11" x14ac:dyDescent="0.2">
      <c r="A201">
        <v>2</v>
      </c>
      <c r="B201" t="s">
        <v>469</v>
      </c>
      <c r="C201" t="s">
        <v>71</v>
      </c>
      <c r="D201" t="s">
        <v>5</v>
      </c>
      <c r="E201" t="s">
        <v>25</v>
      </c>
      <c r="F201" t="s">
        <v>5</v>
      </c>
      <c r="G201" t="s">
        <v>147</v>
      </c>
      <c r="H201" t="s">
        <v>309</v>
      </c>
      <c r="I201" t="s">
        <v>505</v>
      </c>
      <c r="J201" s="6">
        <v>16.38</v>
      </c>
      <c r="K201" s="6">
        <v>20.8</v>
      </c>
    </row>
    <row r="202" spans="1:11" x14ac:dyDescent="0.2">
      <c r="A202">
        <v>2</v>
      </c>
      <c r="B202" t="s">
        <v>469</v>
      </c>
      <c r="C202" t="s">
        <v>397</v>
      </c>
      <c r="D202" t="s">
        <v>6</v>
      </c>
      <c r="E202" t="s">
        <v>290</v>
      </c>
      <c r="F202" t="s">
        <v>11</v>
      </c>
      <c r="G202" t="s">
        <v>195</v>
      </c>
      <c r="H202" t="s">
        <v>309</v>
      </c>
      <c r="I202" t="s">
        <v>505</v>
      </c>
      <c r="J202" s="6">
        <v>0</v>
      </c>
      <c r="K202" s="6">
        <v>0</v>
      </c>
    </row>
    <row r="203" spans="1:11" x14ac:dyDescent="0.2">
      <c r="A203">
        <v>2</v>
      </c>
      <c r="B203" t="s">
        <v>469</v>
      </c>
      <c r="C203" t="s">
        <v>416</v>
      </c>
      <c r="D203" t="s">
        <v>5</v>
      </c>
      <c r="E203" t="s">
        <v>296</v>
      </c>
      <c r="F203" t="s">
        <v>11</v>
      </c>
      <c r="G203" t="s">
        <v>66</v>
      </c>
      <c r="H203" t="s">
        <v>309</v>
      </c>
      <c r="I203" t="s">
        <v>505</v>
      </c>
      <c r="J203" s="6">
        <v>12.58</v>
      </c>
      <c r="K203" s="6">
        <v>10.4</v>
      </c>
    </row>
    <row r="204" spans="1:11" x14ac:dyDescent="0.2">
      <c r="A204">
        <v>2</v>
      </c>
      <c r="B204" t="s">
        <v>469</v>
      </c>
      <c r="C204" t="s">
        <v>383</v>
      </c>
      <c r="D204" t="s">
        <v>6</v>
      </c>
      <c r="E204" t="s">
        <v>300</v>
      </c>
      <c r="F204" t="s">
        <v>16</v>
      </c>
      <c r="G204" t="s">
        <v>199</v>
      </c>
      <c r="H204" t="s">
        <v>309</v>
      </c>
      <c r="I204" t="s">
        <v>505</v>
      </c>
      <c r="J204" s="6">
        <v>7.65</v>
      </c>
      <c r="K204" s="6">
        <v>0</v>
      </c>
    </row>
    <row r="205" spans="1:11" x14ac:dyDescent="0.2">
      <c r="A205">
        <v>2</v>
      </c>
      <c r="B205" t="s">
        <v>469</v>
      </c>
      <c r="C205" t="s">
        <v>251</v>
      </c>
      <c r="D205" t="s">
        <v>9</v>
      </c>
      <c r="E205" t="s">
        <v>24</v>
      </c>
      <c r="F205" t="s">
        <v>9</v>
      </c>
      <c r="G205" t="s">
        <v>250</v>
      </c>
      <c r="H205" t="s">
        <v>309</v>
      </c>
      <c r="I205" t="s">
        <v>505</v>
      </c>
      <c r="J205" s="6">
        <v>8.43</v>
      </c>
      <c r="K205" s="6">
        <v>2.5</v>
      </c>
    </row>
    <row r="206" spans="1:11" x14ac:dyDescent="0.2">
      <c r="A206">
        <v>2</v>
      </c>
      <c r="B206" t="s">
        <v>469</v>
      </c>
      <c r="C206" t="s">
        <v>354</v>
      </c>
      <c r="D206" t="s">
        <v>5</v>
      </c>
      <c r="E206" t="s">
        <v>294</v>
      </c>
      <c r="F206" t="s">
        <v>16</v>
      </c>
      <c r="G206" t="s">
        <v>100</v>
      </c>
      <c r="H206" t="s">
        <v>309</v>
      </c>
      <c r="I206" t="s">
        <v>505</v>
      </c>
      <c r="J206" s="6">
        <v>11.84</v>
      </c>
      <c r="K206" s="6">
        <v>3.6</v>
      </c>
    </row>
    <row r="207" spans="1:11" x14ac:dyDescent="0.2">
      <c r="A207">
        <v>2</v>
      </c>
      <c r="B207" t="s">
        <v>469</v>
      </c>
      <c r="C207" t="s">
        <v>70</v>
      </c>
      <c r="D207" t="s">
        <v>6</v>
      </c>
      <c r="E207" t="s">
        <v>41</v>
      </c>
      <c r="F207" t="s">
        <v>6</v>
      </c>
      <c r="G207" t="s">
        <v>313</v>
      </c>
      <c r="H207" t="s">
        <v>309</v>
      </c>
      <c r="I207" t="s">
        <v>505</v>
      </c>
      <c r="J207" s="6">
        <v>8.14</v>
      </c>
      <c r="K207" s="6">
        <v>7.3</v>
      </c>
    </row>
    <row r="208" spans="1:11" x14ac:dyDescent="0.2">
      <c r="A208">
        <v>2</v>
      </c>
      <c r="B208" t="s">
        <v>469</v>
      </c>
      <c r="C208" t="s">
        <v>461</v>
      </c>
      <c r="D208" t="s">
        <v>4</v>
      </c>
      <c r="E208" t="s">
        <v>34</v>
      </c>
      <c r="F208" t="s">
        <v>4</v>
      </c>
      <c r="G208" t="s">
        <v>462</v>
      </c>
      <c r="H208" t="s">
        <v>309</v>
      </c>
      <c r="I208" t="s">
        <v>505</v>
      </c>
      <c r="J208" s="6">
        <v>15.07</v>
      </c>
      <c r="K208" s="6">
        <v>22.38</v>
      </c>
    </row>
    <row r="209" spans="1:11" x14ac:dyDescent="0.2">
      <c r="A209">
        <v>2</v>
      </c>
      <c r="B209" t="s">
        <v>469</v>
      </c>
      <c r="C209" t="s">
        <v>430</v>
      </c>
      <c r="D209" t="s">
        <v>12</v>
      </c>
      <c r="E209" t="s">
        <v>293</v>
      </c>
      <c r="F209" t="s">
        <v>12</v>
      </c>
      <c r="G209" t="s">
        <v>141</v>
      </c>
      <c r="H209" t="s">
        <v>309</v>
      </c>
      <c r="I209" t="s">
        <v>505</v>
      </c>
      <c r="J209" s="6">
        <v>3.86</v>
      </c>
      <c r="K209" s="6">
        <v>16</v>
      </c>
    </row>
    <row r="210" spans="1:11" x14ac:dyDescent="0.2">
      <c r="A210">
        <v>2</v>
      </c>
      <c r="B210" t="s">
        <v>469</v>
      </c>
      <c r="C210" t="s">
        <v>331</v>
      </c>
      <c r="D210" t="s">
        <v>13</v>
      </c>
      <c r="E210" t="s">
        <v>62</v>
      </c>
      <c r="F210" t="s">
        <v>13</v>
      </c>
      <c r="G210" t="s">
        <v>315</v>
      </c>
      <c r="H210" t="s">
        <v>309</v>
      </c>
      <c r="I210" t="s">
        <v>505</v>
      </c>
      <c r="J210" s="6">
        <v>7.65</v>
      </c>
      <c r="K210" s="6">
        <v>8</v>
      </c>
    </row>
    <row r="211" spans="1:11" x14ac:dyDescent="0.2">
      <c r="A211">
        <v>2</v>
      </c>
      <c r="B211" t="s">
        <v>469</v>
      </c>
      <c r="C211" t="s">
        <v>48</v>
      </c>
      <c r="D211" t="s">
        <v>6</v>
      </c>
      <c r="E211" t="s">
        <v>34</v>
      </c>
      <c r="F211" t="s">
        <v>6</v>
      </c>
      <c r="G211" t="s">
        <v>454</v>
      </c>
      <c r="H211" t="s">
        <v>309</v>
      </c>
      <c r="I211" t="s">
        <v>505</v>
      </c>
      <c r="J211" s="6">
        <v>7.53</v>
      </c>
      <c r="K211" s="6">
        <v>8.9</v>
      </c>
    </row>
    <row r="212" spans="1:11" x14ac:dyDescent="0.2">
      <c r="A212">
        <v>2</v>
      </c>
      <c r="B212" t="s">
        <v>469</v>
      </c>
      <c r="C212" t="s">
        <v>71</v>
      </c>
      <c r="D212" t="s">
        <v>5</v>
      </c>
      <c r="E212" t="s">
        <v>25</v>
      </c>
      <c r="F212" t="s">
        <v>16</v>
      </c>
      <c r="G212" t="s">
        <v>506</v>
      </c>
      <c r="H212" t="s">
        <v>309</v>
      </c>
      <c r="I212" t="s">
        <v>505</v>
      </c>
      <c r="J212" s="6">
        <v>5.76</v>
      </c>
      <c r="K212" s="6">
        <v>4.5</v>
      </c>
    </row>
    <row r="213" spans="1:11" x14ac:dyDescent="0.2">
      <c r="A213">
        <v>2</v>
      </c>
      <c r="B213" t="s">
        <v>469</v>
      </c>
      <c r="C213" t="s">
        <v>397</v>
      </c>
      <c r="D213" t="s">
        <v>6</v>
      </c>
      <c r="E213" t="s">
        <v>290</v>
      </c>
      <c r="F213" t="s">
        <v>11</v>
      </c>
      <c r="G213" t="s">
        <v>281</v>
      </c>
      <c r="H213" t="s">
        <v>309</v>
      </c>
      <c r="I213" t="s">
        <v>505</v>
      </c>
      <c r="J213" s="6">
        <v>8.73</v>
      </c>
      <c r="K213" s="6">
        <v>18.3</v>
      </c>
    </row>
    <row r="214" spans="1:11" x14ac:dyDescent="0.2">
      <c r="A214">
        <v>2</v>
      </c>
      <c r="B214" t="s">
        <v>469</v>
      </c>
      <c r="C214" t="s">
        <v>150</v>
      </c>
      <c r="D214" t="s">
        <v>6</v>
      </c>
      <c r="E214" t="s">
        <v>46</v>
      </c>
      <c r="F214" t="s">
        <v>16</v>
      </c>
      <c r="G214" t="s">
        <v>477</v>
      </c>
      <c r="H214" t="s">
        <v>309</v>
      </c>
      <c r="I214" t="s">
        <v>505</v>
      </c>
      <c r="J214" s="6">
        <v>5</v>
      </c>
      <c r="K214" s="6">
        <v>4</v>
      </c>
    </row>
    <row r="215" spans="1:11" x14ac:dyDescent="0.2">
      <c r="A215">
        <v>2</v>
      </c>
      <c r="B215" t="s">
        <v>309</v>
      </c>
      <c r="C215" t="s">
        <v>384</v>
      </c>
      <c r="D215" t="s">
        <v>6</v>
      </c>
      <c r="E215" t="s">
        <v>292</v>
      </c>
      <c r="F215" t="s">
        <v>6</v>
      </c>
      <c r="G215" t="s">
        <v>187</v>
      </c>
      <c r="H215" t="s">
        <v>507</v>
      </c>
      <c r="I215" t="s">
        <v>508</v>
      </c>
      <c r="J215" s="6">
        <v>15.22</v>
      </c>
      <c r="K215" s="6">
        <v>38</v>
      </c>
    </row>
    <row r="216" spans="1:11" x14ac:dyDescent="0.2">
      <c r="A216">
        <v>2</v>
      </c>
      <c r="B216" t="s">
        <v>309</v>
      </c>
      <c r="C216" t="s">
        <v>44</v>
      </c>
      <c r="D216" t="s">
        <v>5</v>
      </c>
      <c r="E216" t="s">
        <v>55</v>
      </c>
      <c r="F216" t="s">
        <v>5</v>
      </c>
      <c r="G216" t="s">
        <v>310</v>
      </c>
      <c r="H216" t="s">
        <v>507</v>
      </c>
      <c r="I216" t="s">
        <v>508</v>
      </c>
      <c r="J216" s="6">
        <v>15.91</v>
      </c>
      <c r="K216" s="6">
        <v>8.3000000000000007</v>
      </c>
    </row>
    <row r="217" spans="1:11" x14ac:dyDescent="0.2">
      <c r="A217">
        <v>2</v>
      </c>
      <c r="B217" t="s">
        <v>309</v>
      </c>
      <c r="C217" t="s">
        <v>21</v>
      </c>
      <c r="D217" t="s">
        <v>6</v>
      </c>
      <c r="E217" t="s">
        <v>124</v>
      </c>
      <c r="F217" t="s">
        <v>6</v>
      </c>
      <c r="G217" t="s">
        <v>20</v>
      </c>
      <c r="H217" t="s">
        <v>507</v>
      </c>
      <c r="I217" t="s">
        <v>508</v>
      </c>
      <c r="J217" s="6">
        <v>12.77</v>
      </c>
      <c r="K217" s="6">
        <v>14.2</v>
      </c>
    </row>
    <row r="218" spans="1:11" x14ac:dyDescent="0.2">
      <c r="A218">
        <v>2</v>
      </c>
      <c r="B218" t="s">
        <v>309</v>
      </c>
      <c r="C218" t="s">
        <v>382</v>
      </c>
      <c r="D218" t="s">
        <v>6</v>
      </c>
      <c r="E218" t="s">
        <v>298</v>
      </c>
      <c r="F218" t="s">
        <v>11</v>
      </c>
      <c r="G218" t="s">
        <v>106</v>
      </c>
      <c r="H218" t="s">
        <v>507</v>
      </c>
      <c r="I218" t="s">
        <v>508</v>
      </c>
      <c r="J218" s="6">
        <v>10.19</v>
      </c>
      <c r="K218" s="6">
        <v>12</v>
      </c>
    </row>
    <row r="219" spans="1:11" x14ac:dyDescent="0.2">
      <c r="A219">
        <v>2</v>
      </c>
      <c r="B219" t="s">
        <v>309</v>
      </c>
      <c r="C219" t="s">
        <v>364</v>
      </c>
      <c r="D219" t="s">
        <v>9</v>
      </c>
      <c r="E219" t="s">
        <v>291</v>
      </c>
      <c r="F219" t="s">
        <v>9</v>
      </c>
      <c r="G219" t="s">
        <v>322</v>
      </c>
      <c r="H219" t="s">
        <v>507</v>
      </c>
      <c r="I219" t="s">
        <v>508</v>
      </c>
      <c r="J219" s="6">
        <v>9</v>
      </c>
      <c r="K219" s="6">
        <v>11.4</v>
      </c>
    </row>
    <row r="220" spans="1:11" x14ac:dyDescent="0.2">
      <c r="A220">
        <v>2</v>
      </c>
      <c r="B220" t="s">
        <v>309</v>
      </c>
      <c r="C220" t="s">
        <v>8</v>
      </c>
      <c r="D220" t="s">
        <v>6</v>
      </c>
      <c r="E220" t="s">
        <v>52</v>
      </c>
      <c r="F220" t="s">
        <v>11</v>
      </c>
      <c r="G220" t="s">
        <v>114</v>
      </c>
      <c r="H220" t="s">
        <v>507</v>
      </c>
      <c r="I220" t="s">
        <v>508</v>
      </c>
      <c r="J220" s="6">
        <v>11.04</v>
      </c>
      <c r="K220" s="6">
        <v>6.9</v>
      </c>
    </row>
    <row r="221" spans="1:11" x14ac:dyDescent="0.2">
      <c r="A221">
        <v>2</v>
      </c>
      <c r="B221" t="s">
        <v>309</v>
      </c>
      <c r="C221" t="s">
        <v>155</v>
      </c>
      <c r="D221" t="s">
        <v>4</v>
      </c>
      <c r="E221" t="s">
        <v>46</v>
      </c>
      <c r="F221" t="s">
        <v>4</v>
      </c>
      <c r="G221" t="s">
        <v>345</v>
      </c>
      <c r="H221" t="s">
        <v>507</v>
      </c>
      <c r="I221" t="s">
        <v>508</v>
      </c>
      <c r="J221" s="6">
        <v>18.18</v>
      </c>
      <c r="K221" s="6">
        <v>0.8</v>
      </c>
    </row>
    <row r="222" spans="1:11" x14ac:dyDescent="0.2">
      <c r="A222">
        <v>2</v>
      </c>
      <c r="B222" t="s">
        <v>309</v>
      </c>
      <c r="C222" t="s">
        <v>365</v>
      </c>
      <c r="D222" t="s">
        <v>5</v>
      </c>
      <c r="E222" t="s">
        <v>293</v>
      </c>
      <c r="F222" t="s">
        <v>5</v>
      </c>
      <c r="G222" t="s">
        <v>318</v>
      </c>
      <c r="H222" t="s">
        <v>507</v>
      </c>
      <c r="I222" t="s">
        <v>508</v>
      </c>
      <c r="J222" s="6">
        <v>13.07</v>
      </c>
      <c r="K222" s="6">
        <v>10.5</v>
      </c>
    </row>
    <row r="223" spans="1:11" x14ac:dyDescent="0.2">
      <c r="A223">
        <v>2</v>
      </c>
      <c r="B223" t="s">
        <v>309</v>
      </c>
      <c r="C223" t="s">
        <v>389</v>
      </c>
      <c r="D223" t="s">
        <v>13</v>
      </c>
      <c r="E223" t="s">
        <v>292</v>
      </c>
      <c r="F223" t="s">
        <v>13</v>
      </c>
      <c r="G223" t="s">
        <v>306</v>
      </c>
      <c r="H223" t="s">
        <v>507</v>
      </c>
      <c r="I223" t="s">
        <v>508</v>
      </c>
      <c r="J223" s="6">
        <v>9.41</v>
      </c>
      <c r="K223" s="6">
        <v>7</v>
      </c>
    </row>
    <row r="224" spans="1:11" x14ac:dyDescent="0.2">
      <c r="A224">
        <v>2</v>
      </c>
      <c r="B224" t="s">
        <v>309</v>
      </c>
      <c r="C224" t="s">
        <v>359</v>
      </c>
      <c r="D224" t="s">
        <v>6</v>
      </c>
      <c r="E224" t="s">
        <v>360</v>
      </c>
      <c r="F224" t="s">
        <v>16</v>
      </c>
      <c r="G224" t="s">
        <v>320</v>
      </c>
      <c r="H224" t="s">
        <v>507</v>
      </c>
      <c r="I224" t="s">
        <v>508</v>
      </c>
      <c r="J224" s="6">
        <v>2.2400000000000002</v>
      </c>
      <c r="K224" s="6">
        <v>0</v>
      </c>
    </row>
    <row r="225" spans="1:11" x14ac:dyDescent="0.2">
      <c r="A225">
        <v>2</v>
      </c>
      <c r="B225" t="s">
        <v>309</v>
      </c>
      <c r="C225" t="s">
        <v>378</v>
      </c>
      <c r="D225" t="s">
        <v>5</v>
      </c>
      <c r="E225" t="s">
        <v>358</v>
      </c>
      <c r="F225" t="s">
        <v>16</v>
      </c>
      <c r="G225" t="s">
        <v>165</v>
      </c>
      <c r="H225" t="s">
        <v>507</v>
      </c>
      <c r="I225" t="s">
        <v>508</v>
      </c>
      <c r="J225" s="6">
        <v>6.45</v>
      </c>
      <c r="K225" s="6">
        <v>11.3</v>
      </c>
    </row>
    <row r="226" spans="1:11" x14ac:dyDescent="0.2">
      <c r="A226">
        <v>2</v>
      </c>
      <c r="B226" t="s">
        <v>309</v>
      </c>
      <c r="C226" t="s">
        <v>367</v>
      </c>
      <c r="D226" t="s">
        <v>6</v>
      </c>
      <c r="E226" t="s">
        <v>286</v>
      </c>
      <c r="F226" t="s">
        <v>11</v>
      </c>
      <c r="G226" t="s">
        <v>198</v>
      </c>
      <c r="H226" t="s">
        <v>507</v>
      </c>
      <c r="I226" t="s">
        <v>508</v>
      </c>
      <c r="J226" s="6">
        <v>0</v>
      </c>
      <c r="K226" s="6">
        <v>0</v>
      </c>
    </row>
    <row r="227" spans="1:11" x14ac:dyDescent="0.2">
      <c r="A227">
        <v>2</v>
      </c>
      <c r="B227" t="s">
        <v>309</v>
      </c>
      <c r="C227" t="s">
        <v>423</v>
      </c>
      <c r="D227" t="s">
        <v>5</v>
      </c>
      <c r="E227" t="s">
        <v>288</v>
      </c>
      <c r="F227" t="s">
        <v>11</v>
      </c>
      <c r="G227" t="s">
        <v>153</v>
      </c>
      <c r="H227" t="s">
        <v>507</v>
      </c>
      <c r="I227" t="s">
        <v>508</v>
      </c>
      <c r="J227" s="6">
        <v>0</v>
      </c>
      <c r="K227" s="6">
        <v>0</v>
      </c>
    </row>
    <row r="228" spans="1:11" x14ac:dyDescent="0.2">
      <c r="A228">
        <v>2</v>
      </c>
      <c r="B228" t="s">
        <v>309</v>
      </c>
      <c r="C228" t="s">
        <v>31</v>
      </c>
      <c r="D228" t="s">
        <v>12</v>
      </c>
      <c r="E228" t="s">
        <v>41</v>
      </c>
      <c r="F228" t="s">
        <v>12</v>
      </c>
      <c r="G228" t="s">
        <v>30</v>
      </c>
      <c r="H228" t="s">
        <v>507</v>
      </c>
      <c r="I228" t="s">
        <v>508</v>
      </c>
      <c r="J228" s="6">
        <v>8.2100000000000009</v>
      </c>
      <c r="K228" s="6">
        <v>4</v>
      </c>
    </row>
    <row r="229" spans="1:11" x14ac:dyDescent="0.2">
      <c r="A229">
        <v>2</v>
      </c>
      <c r="B229" t="s">
        <v>309</v>
      </c>
      <c r="C229" t="s">
        <v>15</v>
      </c>
      <c r="D229" t="s">
        <v>13</v>
      </c>
      <c r="E229" t="s">
        <v>25</v>
      </c>
      <c r="F229" t="s">
        <v>16</v>
      </c>
      <c r="G229" t="s">
        <v>14</v>
      </c>
      <c r="H229" t="s">
        <v>507</v>
      </c>
      <c r="I229" t="s">
        <v>508</v>
      </c>
      <c r="J229" s="6">
        <v>9.06</v>
      </c>
      <c r="K229" s="6">
        <v>16</v>
      </c>
    </row>
    <row r="230" spans="1:11" x14ac:dyDescent="0.2">
      <c r="A230">
        <v>2</v>
      </c>
      <c r="B230" t="s">
        <v>309</v>
      </c>
      <c r="C230" t="s">
        <v>101</v>
      </c>
      <c r="D230" t="s">
        <v>6</v>
      </c>
      <c r="E230" t="s">
        <v>24</v>
      </c>
      <c r="F230" t="s">
        <v>16</v>
      </c>
      <c r="G230" t="s">
        <v>224</v>
      </c>
      <c r="H230" t="s">
        <v>507</v>
      </c>
      <c r="I230" t="s">
        <v>508</v>
      </c>
      <c r="J230" s="6">
        <v>8.11</v>
      </c>
      <c r="K230" s="6">
        <v>0.9</v>
      </c>
    </row>
    <row r="231" spans="1:11" x14ac:dyDescent="0.2">
      <c r="A231">
        <v>2</v>
      </c>
      <c r="B231" t="s">
        <v>484</v>
      </c>
      <c r="C231" t="s">
        <v>7</v>
      </c>
      <c r="D231" t="s">
        <v>6</v>
      </c>
      <c r="E231" t="s">
        <v>123</v>
      </c>
      <c r="F231" t="s">
        <v>16</v>
      </c>
      <c r="G231" t="s">
        <v>203</v>
      </c>
      <c r="H231" t="s">
        <v>545</v>
      </c>
      <c r="I231" t="s">
        <v>509</v>
      </c>
      <c r="J231" s="6">
        <v>0</v>
      </c>
      <c r="K231" s="6">
        <v>0</v>
      </c>
    </row>
    <row r="232" spans="1:11" x14ac:dyDescent="0.2">
      <c r="A232">
        <v>2</v>
      </c>
      <c r="B232" t="s">
        <v>484</v>
      </c>
      <c r="C232" t="s">
        <v>109</v>
      </c>
      <c r="D232" t="s">
        <v>5</v>
      </c>
      <c r="E232" t="s">
        <v>123</v>
      </c>
      <c r="F232" t="s">
        <v>5</v>
      </c>
      <c r="G232" t="s">
        <v>167</v>
      </c>
      <c r="H232" t="s">
        <v>545</v>
      </c>
      <c r="I232" t="s">
        <v>509</v>
      </c>
      <c r="J232" s="6">
        <v>13.31</v>
      </c>
      <c r="K232" s="6">
        <v>14.7</v>
      </c>
    </row>
    <row r="233" spans="1:11" x14ac:dyDescent="0.2">
      <c r="A233">
        <v>2</v>
      </c>
      <c r="B233" t="s">
        <v>484</v>
      </c>
      <c r="C233" t="s">
        <v>72</v>
      </c>
      <c r="D233" t="s">
        <v>6</v>
      </c>
      <c r="E233" t="s">
        <v>25</v>
      </c>
      <c r="F233" t="s">
        <v>6</v>
      </c>
      <c r="G233" t="s">
        <v>214</v>
      </c>
      <c r="H233" t="s">
        <v>545</v>
      </c>
      <c r="I233" t="s">
        <v>509</v>
      </c>
      <c r="J233" s="6">
        <v>12.34</v>
      </c>
      <c r="K233" s="6">
        <v>10.3</v>
      </c>
    </row>
    <row r="234" spans="1:11" x14ac:dyDescent="0.2">
      <c r="A234">
        <v>2</v>
      </c>
      <c r="B234" t="s">
        <v>484</v>
      </c>
      <c r="C234" t="s">
        <v>362</v>
      </c>
      <c r="D234" t="s">
        <v>6</v>
      </c>
      <c r="E234" t="s">
        <v>296</v>
      </c>
      <c r="F234" t="s">
        <v>11</v>
      </c>
      <c r="G234" t="s">
        <v>328</v>
      </c>
      <c r="H234" t="s">
        <v>545</v>
      </c>
      <c r="I234" t="s">
        <v>509</v>
      </c>
      <c r="J234" s="6">
        <v>10.32</v>
      </c>
      <c r="K234" s="6">
        <v>4.7</v>
      </c>
    </row>
    <row r="235" spans="1:11" x14ac:dyDescent="0.2">
      <c r="A235">
        <v>2</v>
      </c>
      <c r="B235" t="s">
        <v>484</v>
      </c>
      <c r="C235" t="s">
        <v>434</v>
      </c>
      <c r="D235" t="s">
        <v>4</v>
      </c>
      <c r="E235" t="s">
        <v>298</v>
      </c>
      <c r="F235" t="s">
        <v>4</v>
      </c>
      <c r="G235" t="s">
        <v>64</v>
      </c>
      <c r="H235" t="s">
        <v>545</v>
      </c>
      <c r="I235" t="s">
        <v>509</v>
      </c>
      <c r="J235" s="6">
        <v>16.5</v>
      </c>
      <c r="K235" s="6">
        <v>16.18</v>
      </c>
    </row>
    <row r="236" spans="1:11" x14ac:dyDescent="0.2">
      <c r="A236">
        <v>2</v>
      </c>
      <c r="B236" t="s">
        <v>484</v>
      </c>
      <c r="C236" t="s">
        <v>353</v>
      </c>
      <c r="D236" t="s">
        <v>5</v>
      </c>
      <c r="E236" t="s">
        <v>299</v>
      </c>
      <c r="F236" t="s">
        <v>16</v>
      </c>
      <c r="G236" t="s">
        <v>194</v>
      </c>
      <c r="H236" t="s">
        <v>545</v>
      </c>
      <c r="I236" t="s">
        <v>509</v>
      </c>
      <c r="J236" s="6">
        <v>10.130000000000001</v>
      </c>
      <c r="K236" s="6">
        <v>8.6999999999999993</v>
      </c>
    </row>
    <row r="237" spans="1:11" x14ac:dyDescent="0.2">
      <c r="A237">
        <v>2</v>
      </c>
      <c r="B237" t="s">
        <v>484</v>
      </c>
      <c r="C237" t="s">
        <v>436</v>
      </c>
      <c r="D237" t="s">
        <v>9</v>
      </c>
      <c r="E237" t="s">
        <v>301</v>
      </c>
      <c r="F237" t="s">
        <v>9</v>
      </c>
      <c r="G237" t="s">
        <v>333</v>
      </c>
      <c r="H237" t="s">
        <v>545</v>
      </c>
      <c r="I237" t="s">
        <v>509</v>
      </c>
      <c r="J237" s="6">
        <v>7.74</v>
      </c>
      <c r="K237" s="6">
        <v>7.9</v>
      </c>
    </row>
    <row r="238" spans="1:11" x14ac:dyDescent="0.2">
      <c r="A238">
        <v>2</v>
      </c>
      <c r="B238" t="s">
        <v>484</v>
      </c>
      <c r="C238" t="s">
        <v>54</v>
      </c>
      <c r="D238" t="s">
        <v>6</v>
      </c>
      <c r="E238" t="s">
        <v>125</v>
      </c>
      <c r="F238" t="s">
        <v>11</v>
      </c>
      <c r="G238" t="s">
        <v>193</v>
      </c>
      <c r="H238" t="s">
        <v>545</v>
      </c>
      <c r="I238" t="s">
        <v>509</v>
      </c>
      <c r="J238" s="6">
        <v>8.4700000000000006</v>
      </c>
      <c r="K238" s="6">
        <v>1.9</v>
      </c>
    </row>
    <row r="239" spans="1:11" x14ac:dyDescent="0.2">
      <c r="A239">
        <v>2</v>
      </c>
      <c r="B239" t="s">
        <v>484</v>
      </c>
      <c r="C239" t="s">
        <v>378</v>
      </c>
      <c r="D239" t="s">
        <v>5</v>
      </c>
      <c r="E239" t="s">
        <v>358</v>
      </c>
      <c r="F239" t="s">
        <v>5</v>
      </c>
      <c r="G239" t="s">
        <v>321</v>
      </c>
      <c r="H239" t="s">
        <v>545</v>
      </c>
      <c r="I239" t="s">
        <v>509</v>
      </c>
      <c r="J239" s="6">
        <v>9.58</v>
      </c>
      <c r="K239" s="6">
        <v>5.3</v>
      </c>
    </row>
    <row r="240" spans="1:11" x14ac:dyDescent="0.2">
      <c r="A240">
        <v>2</v>
      </c>
      <c r="B240" t="s">
        <v>484</v>
      </c>
      <c r="C240" t="s">
        <v>373</v>
      </c>
      <c r="D240" t="s">
        <v>4</v>
      </c>
      <c r="E240" t="s">
        <v>288</v>
      </c>
      <c r="F240" t="s">
        <v>16</v>
      </c>
      <c r="G240" t="s">
        <v>129</v>
      </c>
      <c r="H240" t="s">
        <v>545</v>
      </c>
      <c r="I240" t="s">
        <v>509</v>
      </c>
      <c r="J240" s="6">
        <v>17.010000000000002</v>
      </c>
      <c r="K240" s="6">
        <v>29.78</v>
      </c>
    </row>
    <row r="241" spans="1:11" x14ac:dyDescent="0.2">
      <c r="A241">
        <v>2</v>
      </c>
      <c r="B241" t="s">
        <v>484</v>
      </c>
      <c r="C241" t="s">
        <v>406</v>
      </c>
      <c r="D241" t="s">
        <v>6</v>
      </c>
      <c r="E241" t="s">
        <v>289</v>
      </c>
      <c r="F241" t="s">
        <v>6</v>
      </c>
      <c r="G241" t="s">
        <v>278</v>
      </c>
      <c r="H241" t="s">
        <v>545</v>
      </c>
      <c r="I241" t="s">
        <v>509</v>
      </c>
      <c r="J241" s="6">
        <v>9.67</v>
      </c>
      <c r="K241" s="6">
        <v>10.6</v>
      </c>
    </row>
    <row r="242" spans="1:11" x14ac:dyDescent="0.2">
      <c r="A242">
        <v>2</v>
      </c>
      <c r="B242" t="s">
        <v>484</v>
      </c>
      <c r="C242" t="s">
        <v>412</v>
      </c>
      <c r="D242" t="s">
        <v>12</v>
      </c>
      <c r="E242" t="s">
        <v>284</v>
      </c>
      <c r="F242" t="s">
        <v>12</v>
      </c>
      <c r="G242" t="s">
        <v>63</v>
      </c>
      <c r="H242" t="s">
        <v>545</v>
      </c>
      <c r="I242" t="s">
        <v>509</v>
      </c>
      <c r="J242" s="6">
        <v>7.09</v>
      </c>
      <c r="K242" s="6">
        <v>4</v>
      </c>
    </row>
    <row r="243" spans="1:11" x14ac:dyDescent="0.2">
      <c r="A243">
        <v>2</v>
      </c>
      <c r="B243" t="s">
        <v>484</v>
      </c>
      <c r="C243" t="s">
        <v>433</v>
      </c>
      <c r="D243" t="s">
        <v>13</v>
      </c>
      <c r="E243" t="s">
        <v>299</v>
      </c>
      <c r="F243" t="s">
        <v>13</v>
      </c>
      <c r="G243" t="s">
        <v>242</v>
      </c>
      <c r="H243" t="s">
        <v>545</v>
      </c>
      <c r="I243" t="s">
        <v>509</v>
      </c>
      <c r="J243" s="6">
        <v>7.89</v>
      </c>
      <c r="K243" s="6">
        <v>4</v>
      </c>
    </row>
    <row r="244" spans="1:11" x14ac:dyDescent="0.2">
      <c r="A244">
        <v>2</v>
      </c>
      <c r="B244" t="s">
        <v>484</v>
      </c>
      <c r="C244" t="s">
        <v>85</v>
      </c>
      <c r="D244" t="s">
        <v>5</v>
      </c>
      <c r="E244" t="s">
        <v>52</v>
      </c>
      <c r="F244" t="s">
        <v>16</v>
      </c>
      <c r="G244" t="s">
        <v>510</v>
      </c>
      <c r="H244" t="s">
        <v>545</v>
      </c>
      <c r="I244" t="s">
        <v>509</v>
      </c>
      <c r="J244" s="6">
        <v>7.98</v>
      </c>
      <c r="K244" s="6">
        <v>2.5</v>
      </c>
    </row>
    <row r="245" spans="1:11" x14ac:dyDescent="0.2">
      <c r="A245">
        <v>2</v>
      </c>
      <c r="B245" t="s">
        <v>545</v>
      </c>
      <c r="C245" t="s">
        <v>361</v>
      </c>
      <c r="D245" t="s">
        <v>5</v>
      </c>
      <c r="E245" t="s">
        <v>291</v>
      </c>
      <c r="F245" t="s">
        <v>5</v>
      </c>
      <c r="G245" t="s">
        <v>93</v>
      </c>
      <c r="H245" t="s">
        <v>511</v>
      </c>
      <c r="I245" t="s">
        <v>512</v>
      </c>
      <c r="J245" s="6">
        <v>16.940000000000001</v>
      </c>
      <c r="K245" s="6">
        <v>27.2</v>
      </c>
    </row>
    <row r="246" spans="1:11" x14ac:dyDescent="0.2">
      <c r="A246">
        <v>2</v>
      </c>
      <c r="B246" t="s">
        <v>545</v>
      </c>
      <c r="C246" t="s">
        <v>108</v>
      </c>
      <c r="D246" t="s">
        <v>9</v>
      </c>
      <c r="E246" t="s">
        <v>55</v>
      </c>
      <c r="F246" t="s">
        <v>16</v>
      </c>
      <c r="G246" t="s">
        <v>218</v>
      </c>
      <c r="H246" t="s">
        <v>511</v>
      </c>
      <c r="I246" t="s">
        <v>512</v>
      </c>
      <c r="J246" s="6">
        <v>0</v>
      </c>
      <c r="K246" s="6">
        <v>0</v>
      </c>
    </row>
    <row r="247" spans="1:11" x14ac:dyDescent="0.2">
      <c r="A247">
        <v>2</v>
      </c>
      <c r="B247" t="s">
        <v>545</v>
      </c>
      <c r="C247" t="s">
        <v>37</v>
      </c>
      <c r="D247" t="s">
        <v>5</v>
      </c>
      <c r="E247" t="s">
        <v>34</v>
      </c>
      <c r="F247" t="s">
        <v>5</v>
      </c>
      <c r="G247" t="s">
        <v>32</v>
      </c>
      <c r="H247" t="s">
        <v>511</v>
      </c>
      <c r="I247" t="s">
        <v>512</v>
      </c>
      <c r="J247" s="6">
        <v>11.33</v>
      </c>
      <c r="K247" s="6">
        <v>6.1</v>
      </c>
    </row>
    <row r="248" spans="1:11" x14ac:dyDescent="0.2">
      <c r="A248">
        <v>2</v>
      </c>
      <c r="B248" t="s">
        <v>545</v>
      </c>
      <c r="C248" t="s">
        <v>362</v>
      </c>
      <c r="D248" t="s">
        <v>6</v>
      </c>
      <c r="E248" t="s">
        <v>296</v>
      </c>
      <c r="F248" t="s">
        <v>6</v>
      </c>
      <c r="G248" t="s">
        <v>217</v>
      </c>
      <c r="H248" t="s">
        <v>511</v>
      </c>
      <c r="I248" t="s">
        <v>512</v>
      </c>
      <c r="J248" s="6">
        <v>10.210000000000001</v>
      </c>
      <c r="K248" s="6">
        <v>5.8</v>
      </c>
    </row>
    <row r="249" spans="1:11" x14ac:dyDescent="0.2">
      <c r="A249">
        <v>2</v>
      </c>
      <c r="B249" t="s">
        <v>545</v>
      </c>
      <c r="C249" t="s">
        <v>405</v>
      </c>
      <c r="D249" t="s">
        <v>4</v>
      </c>
      <c r="E249" t="s">
        <v>358</v>
      </c>
      <c r="F249" t="s">
        <v>4</v>
      </c>
      <c r="G249" t="s">
        <v>222</v>
      </c>
      <c r="H249" t="s">
        <v>511</v>
      </c>
      <c r="I249" t="s">
        <v>512</v>
      </c>
      <c r="J249" s="6">
        <v>19.79</v>
      </c>
      <c r="K249" s="6">
        <v>14.74</v>
      </c>
    </row>
    <row r="250" spans="1:11" x14ac:dyDescent="0.2">
      <c r="A250">
        <v>2</v>
      </c>
      <c r="B250" t="s">
        <v>545</v>
      </c>
      <c r="C250" t="s">
        <v>376</v>
      </c>
      <c r="D250" t="s">
        <v>6</v>
      </c>
      <c r="E250" t="s">
        <v>299</v>
      </c>
      <c r="F250" t="s">
        <v>16</v>
      </c>
      <c r="G250" t="s">
        <v>39</v>
      </c>
      <c r="H250" t="s">
        <v>511</v>
      </c>
      <c r="I250" t="s">
        <v>512</v>
      </c>
      <c r="J250" s="6">
        <v>0</v>
      </c>
      <c r="K250" s="6">
        <v>0</v>
      </c>
    </row>
    <row r="251" spans="1:11" x14ac:dyDescent="0.2">
      <c r="A251">
        <v>2</v>
      </c>
      <c r="B251" t="s">
        <v>545</v>
      </c>
      <c r="C251" t="s">
        <v>371</v>
      </c>
      <c r="D251" t="s">
        <v>6</v>
      </c>
      <c r="E251" t="s">
        <v>297</v>
      </c>
      <c r="F251" t="s">
        <v>6</v>
      </c>
      <c r="G251" t="s">
        <v>149</v>
      </c>
      <c r="H251" t="s">
        <v>511</v>
      </c>
      <c r="I251" t="s">
        <v>512</v>
      </c>
      <c r="J251" s="6">
        <v>7.22</v>
      </c>
      <c r="K251" s="6">
        <v>1.4</v>
      </c>
    </row>
    <row r="252" spans="1:11" x14ac:dyDescent="0.2">
      <c r="A252">
        <v>2</v>
      </c>
      <c r="B252" t="s">
        <v>545</v>
      </c>
      <c r="C252" t="s">
        <v>416</v>
      </c>
      <c r="D252" t="s">
        <v>5</v>
      </c>
      <c r="E252" t="s">
        <v>296</v>
      </c>
      <c r="F252" t="s">
        <v>11</v>
      </c>
      <c r="G252" t="s">
        <v>335</v>
      </c>
      <c r="H252" t="s">
        <v>511</v>
      </c>
      <c r="I252" t="s">
        <v>512</v>
      </c>
      <c r="J252" s="6">
        <v>9.08</v>
      </c>
      <c r="K252" s="6">
        <v>6.8</v>
      </c>
    </row>
    <row r="253" spans="1:11" x14ac:dyDescent="0.2">
      <c r="A253">
        <v>2</v>
      </c>
      <c r="B253" t="s">
        <v>545</v>
      </c>
      <c r="C253" t="s">
        <v>398</v>
      </c>
      <c r="D253" t="s">
        <v>6</v>
      </c>
      <c r="E253" t="s">
        <v>283</v>
      </c>
      <c r="F253" t="s">
        <v>16</v>
      </c>
      <c r="G253" t="s">
        <v>235</v>
      </c>
      <c r="H253" t="s">
        <v>511</v>
      </c>
      <c r="I253" t="s">
        <v>512</v>
      </c>
      <c r="J253" s="6">
        <v>8.25</v>
      </c>
      <c r="K253" s="6">
        <v>5.3</v>
      </c>
    </row>
    <row r="254" spans="1:11" x14ac:dyDescent="0.2">
      <c r="A254">
        <v>2</v>
      </c>
      <c r="B254" t="s">
        <v>545</v>
      </c>
      <c r="C254" t="s">
        <v>386</v>
      </c>
      <c r="D254" t="s">
        <v>5</v>
      </c>
      <c r="E254" t="s">
        <v>297</v>
      </c>
      <c r="F254" t="s">
        <v>11</v>
      </c>
      <c r="G254" t="s">
        <v>205</v>
      </c>
      <c r="H254" t="s">
        <v>511</v>
      </c>
      <c r="I254" t="s">
        <v>512</v>
      </c>
      <c r="J254" s="6">
        <v>7.27</v>
      </c>
      <c r="K254" s="6">
        <v>8</v>
      </c>
    </row>
    <row r="255" spans="1:11" x14ac:dyDescent="0.2">
      <c r="A255">
        <v>2</v>
      </c>
      <c r="B255" t="s">
        <v>545</v>
      </c>
      <c r="C255" t="s">
        <v>372</v>
      </c>
      <c r="D255" t="s">
        <v>12</v>
      </c>
      <c r="E255" t="s">
        <v>299</v>
      </c>
      <c r="F255" t="s">
        <v>12</v>
      </c>
      <c r="G255" t="s">
        <v>127</v>
      </c>
      <c r="H255" t="s">
        <v>511</v>
      </c>
      <c r="I255" t="s">
        <v>512</v>
      </c>
      <c r="J255" s="6">
        <v>6</v>
      </c>
      <c r="K255" s="6">
        <v>8</v>
      </c>
    </row>
    <row r="256" spans="1:11" x14ac:dyDescent="0.2">
      <c r="A256">
        <v>2</v>
      </c>
      <c r="B256" t="s">
        <v>545</v>
      </c>
      <c r="C256" t="s">
        <v>439</v>
      </c>
      <c r="D256" t="s">
        <v>4</v>
      </c>
      <c r="E256" t="s">
        <v>286</v>
      </c>
      <c r="F256" t="s">
        <v>16</v>
      </c>
      <c r="G256" t="s">
        <v>202</v>
      </c>
      <c r="H256" t="s">
        <v>511</v>
      </c>
      <c r="I256" t="s">
        <v>512</v>
      </c>
      <c r="J256" s="6">
        <v>16.93</v>
      </c>
      <c r="K256" s="6">
        <v>17.02</v>
      </c>
    </row>
    <row r="257" spans="1:11" x14ac:dyDescent="0.2">
      <c r="A257">
        <v>2</v>
      </c>
      <c r="B257" t="s">
        <v>545</v>
      </c>
      <c r="C257" t="s">
        <v>446</v>
      </c>
      <c r="D257" t="s">
        <v>9</v>
      </c>
      <c r="E257" t="s">
        <v>286</v>
      </c>
      <c r="F257" t="s">
        <v>9</v>
      </c>
      <c r="G257" t="s">
        <v>40</v>
      </c>
      <c r="H257" t="s">
        <v>511</v>
      </c>
      <c r="I257" t="s">
        <v>512</v>
      </c>
      <c r="J257" s="6">
        <v>7.06</v>
      </c>
      <c r="K257" s="6">
        <v>20</v>
      </c>
    </row>
    <row r="258" spans="1:11" x14ac:dyDescent="0.2">
      <c r="A258">
        <v>2</v>
      </c>
      <c r="B258" t="s">
        <v>545</v>
      </c>
      <c r="C258" t="s">
        <v>429</v>
      </c>
      <c r="D258" t="s">
        <v>13</v>
      </c>
      <c r="E258" t="s">
        <v>296</v>
      </c>
      <c r="F258" t="s">
        <v>13</v>
      </c>
      <c r="G258" t="s">
        <v>280</v>
      </c>
      <c r="H258" t="s">
        <v>511</v>
      </c>
      <c r="I258" t="s">
        <v>512</v>
      </c>
      <c r="J258" s="6">
        <v>9.08</v>
      </c>
      <c r="K258" s="6">
        <v>4</v>
      </c>
    </row>
    <row r="259" spans="1:11" x14ac:dyDescent="0.2">
      <c r="A259">
        <v>2</v>
      </c>
      <c r="B259" t="s">
        <v>343</v>
      </c>
      <c r="C259" t="s">
        <v>435</v>
      </c>
      <c r="D259" t="s">
        <v>5</v>
      </c>
      <c r="E259" t="s">
        <v>290</v>
      </c>
      <c r="F259" t="s">
        <v>5</v>
      </c>
      <c r="G259" t="s">
        <v>65</v>
      </c>
      <c r="H259" t="s">
        <v>463</v>
      </c>
      <c r="I259" t="s">
        <v>513</v>
      </c>
      <c r="J259" s="6">
        <v>16.97</v>
      </c>
      <c r="K259" s="6">
        <v>16.2</v>
      </c>
    </row>
    <row r="260" spans="1:11" x14ac:dyDescent="0.2">
      <c r="A260">
        <v>2</v>
      </c>
      <c r="B260" t="s">
        <v>343</v>
      </c>
      <c r="C260" t="s">
        <v>379</v>
      </c>
      <c r="D260" t="s">
        <v>5</v>
      </c>
      <c r="E260" t="s">
        <v>287</v>
      </c>
      <c r="F260" t="s">
        <v>5</v>
      </c>
      <c r="G260" t="s">
        <v>215</v>
      </c>
      <c r="H260" t="s">
        <v>463</v>
      </c>
      <c r="I260" t="s">
        <v>513</v>
      </c>
      <c r="J260" s="6">
        <v>15.07</v>
      </c>
      <c r="K260" s="6">
        <v>10.8</v>
      </c>
    </row>
    <row r="261" spans="1:11" x14ac:dyDescent="0.2">
      <c r="A261">
        <v>2</v>
      </c>
      <c r="B261" t="s">
        <v>343</v>
      </c>
      <c r="C261" t="s">
        <v>396</v>
      </c>
      <c r="D261" t="s">
        <v>4</v>
      </c>
      <c r="E261" t="s">
        <v>290</v>
      </c>
      <c r="F261" t="s">
        <v>4</v>
      </c>
      <c r="G261" t="s">
        <v>103</v>
      </c>
      <c r="H261" t="s">
        <v>463</v>
      </c>
      <c r="I261" t="s">
        <v>513</v>
      </c>
      <c r="J261" s="6">
        <v>21.66</v>
      </c>
      <c r="K261" s="6">
        <v>14.8</v>
      </c>
    </row>
    <row r="262" spans="1:11" x14ac:dyDescent="0.2">
      <c r="A262">
        <v>2</v>
      </c>
      <c r="B262" t="s">
        <v>343</v>
      </c>
      <c r="C262" t="s">
        <v>406</v>
      </c>
      <c r="D262" t="s">
        <v>6</v>
      </c>
      <c r="E262" t="s">
        <v>289</v>
      </c>
      <c r="F262" t="s">
        <v>6</v>
      </c>
      <c r="G262" t="s">
        <v>317</v>
      </c>
      <c r="H262" t="s">
        <v>463</v>
      </c>
      <c r="I262" t="s">
        <v>513</v>
      </c>
      <c r="J262" s="6">
        <v>11.4</v>
      </c>
      <c r="K262" s="6">
        <v>12.6</v>
      </c>
    </row>
    <row r="263" spans="1:11" x14ac:dyDescent="0.2">
      <c r="A263">
        <v>2</v>
      </c>
      <c r="B263" t="s">
        <v>343</v>
      </c>
      <c r="C263" t="s">
        <v>418</v>
      </c>
      <c r="D263" t="s">
        <v>4</v>
      </c>
      <c r="E263" t="s">
        <v>285</v>
      </c>
      <c r="F263" t="s">
        <v>16</v>
      </c>
      <c r="G263" t="s">
        <v>42</v>
      </c>
      <c r="H263" t="s">
        <v>463</v>
      </c>
      <c r="I263" t="s">
        <v>513</v>
      </c>
      <c r="J263" s="6">
        <v>20.010000000000002</v>
      </c>
      <c r="K263" s="6">
        <v>29.76</v>
      </c>
    </row>
    <row r="264" spans="1:11" x14ac:dyDescent="0.2">
      <c r="A264">
        <v>2</v>
      </c>
      <c r="B264" t="s">
        <v>343</v>
      </c>
      <c r="C264" t="s">
        <v>371</v>
      </c>
      <c r="D264" t="s">
        <v>6</v>
      </c>
      <c r="E264" t="s">
        <v>297</v>
      </c>
      <c r="F264" t="s">
        <v>6</v>
      </c>
      <c r="G264" t="s">
        <v>491</v>
      </c>
      <c r="H264" t="s">
        <v>463</v>
      </c>
      <c r="I264" t="s">
        <v>513</v>
      </c>
      <c r="J264" s="6">
        <v>9.32</v>
      </c>
      <c r="K264" s="6">
        <v>4.2</v>
      </c>
    </row>
    <row r="265" spans="1:11" x14ac:dyDescent="0.2">
      <c r="A265">
        <v>2</v>
      </c>
      <c r="B265" t="s">
        <v>343</v>
      </c>
      <c r="C265" t="s">
        <v>237</v>
      </c>
      <c r="D265" t="s">
        <v>13</v>
      </c>
      <c r="E265" t="s">
        <v>125</v>
      </c>
      <c r="F265" t="s">
        <v>13</v>
      </c>
      <c r="G265" t="s">
        <v>236</v>
      </c>
      <c r="H265" t="s">
        <v>463</v>
      </c>
      <c r="I265" t="s">
        <v>513</v>
      </c>
      <c r="J265" s="6">
        <v>9.84</v>
      </c>
      <c r="K265" s="6">
        <v>1</v>
      </c>
    </row>
    <row r="266" spans="1:11" x14ac:dyDescent="0.2">
      <c r="A266">
        <v>2</v>
      </c>
      <c r="B266" t="s">
        <v>343</v>
      </c>
      <c r="C266" t="s">
        <v>380</v>
      </c>
      <c r="D266" t="s">
        <v>12</v>
      </c>
      <c r="E266" t="s">
        <v>286</v>
      </c>
      <c r="F266" t="s">
        <v>12</v>
      </c>
      <c r="G266" t="s">
        <v>254</v>
      </c>
      <c r="H266" t="s">
        <v>463</v>
      </c>
      <c r="I266" t="s">
        <v>513</v>
      </c>
      <c r="J266" s="6">
        <v>6.25</v>
      </c>
      <c r="K266" s="6">
        <v>7</v>
      </c>
    </row>
    <row r="267" spans="1:11" x14ac:dyDescent="0.2">
      <c r="A267">
        <v>2</v>
      </c>
      <c r="B267" t="s">
        <v>343</v>
      </c>
      <c r="C267" t="s">
        <v>356</v>
      </c>
      <c r="D267" t="s">
        <v>9</v>
      </c>
      <c r="E267" t="s">
        <v>285</v>
      </c>
      <c r="F267" t="s">
        <v>9</v>
      </c>
      <c r="G267" t="s">
        <v>185</v>
      </c>
      <c r="H267" t="s">
        <v>463</v>
      </c>
      <c r="I267" t="s">
        <v>513</v>
      </c>
      <c r="J267" s="6">
        <v>7.67</v>
      </c>
      <c r="K267" s="6">
        <v>18.3</v>
      </c>
    </row>
    <row r="268" spans="1:11" x14ac:dyDescent="0.2">
      <c r="A268">
        <v>2</v>
      </c>
      <c r="B268" t="s">
        <v>343</v>
      </c>
      <c r="C268" t="s">
        <v>349</v>
      </c>
      <c r="D268" t="s">
        <v>6</v>
      </c>
      <c r="E268" t="s">
        <v>284</v>
      </c>
      <c r="F268" t="s">
        <v>11</v>
      </c>
      <c r="G268" t="s">
        <v>492</v>
      </c>
      <c r="H268" t="s">
        <v>463</v>
      </c>
      <c r="I268" t="s">
        <v>513</v>
      </c>
      <c r="J268" s="6">
        <v>7.48</v>
      </c>
      <c r="K268" s="6">
        <v>1.4</v>
      </c>
    </row>
    <row r="269" spans="1:11" x14ac:dyDescent="0.2">
      <c r="A269">
        <v>2</v>
      </c>
      <c r="B269" t="s">
        <v>343</v>
      </c>
      <c r="C269" t="s">
        <v>425</v>
      </c>
      <c r="D269" t="s">
        <v>5</v>
      </c>
      <c r="E269" t="s">
        <v>286</v>
      </c>
      <c r="F269" t="s">
        <v>11</v>
      </c>
      <c r="G269" t="s">
        <v>332</v>
      </c>
      <c r="H269" t="s">
        <v>463</v>
      </c>
      <c r="I269" t="s">
        <v>513</v>
      </c>
      <c r="J269" s="6">
        <v>6.88</v>
      </c>
      <c r="K269" s="6">
        <v>6</v>
      </c>
    </row>
    <row r="270" spans="1:11" x14ac:dyDescent="0.2">
      <c r="A270">
        <v>2</v>
      </c>
      <c r="B270" t="s">
        <v>343</v>
      </c>
      <c r="C270" t="s">
        <v>70</v>
      </c>
      <c r="D270" t="s">
        <v>6</v>
      </c>
      <c r="E270" t="s">
        <v>41</v>
      </c>
      <c r="F270" t="s">
        <v>16</v>
      </c>
      <c r="G270" t="s">
        <v>259</v>
      </c>
      <c r="H270" t="s">
        <v>463</v>
      </c>
      <c r="I270" t="s">
        <v>513</v>
      </c>
      <c r="J270" s="6">
        <v>5.83</v>
      </c>
      <c r="K270" s="6">
        <v>0</v>
      </c>
    </row>
    <row r="271" spans="1:11" x14ac:dyDescent="0.2">
      <c r="A271">
        <v>2</v>
      </c>
      <c r="B271" t="s">
        <v>343</v>
      </c>
      <c r="C271" t="s">
        <v>460</v>
      </c>
      <c r="D271" t="s">
        <v>9</v>
      </c>
      <c r="E271" t="s">
        <v>123</v>
      </c>
      <c r="F271" t="s">
        <v>16</v>
      </c>
      <c r="G271" t="s">
        <v>493</v>
      </c>
      <c r="H271" t="s">
        <v>463</v>
      </c>
      <c r="I271" t="s">
        <v>513</v>
      </c>
      <c r="J271" s="6">
        <v>6.18</v>
      </c>
      <c r="K271" s="6">
        <v>14.4</v>
      </c>
    </row>
    <row r="272" spans="1:11" x14ac:dyDescent="0.2">
      <c r="A272">
        <v>2</v>
      </c>
      <c r="B272" t="s">
        <v>343</v>
      </c>
      <c r="C272" t="s">
        <v>375</v>
      </c>
      <c r="D272" t="s">
        <v>5</v>
      </c>
      <c r="E272" t="s">
        <v>298</v>
      </c>
      <c r="F272" t="s">
        <v>16</v>
      </c>
      <c r="G272" t="s">
        <v>164</v>
      </c>
      <c r="H272" t="s">
        <v>463</v>
      </c>
      <c r="I272" t="s">
        <v>513</v>
      </c>
      <c r="J272" s="6">
        <v>4.88</v>
      </c>
      <c r="K272" s="6">
        <v>2.7</v>
      </c>
    </row>
    <row r="273" spans="1:11" x14ac:dyDescent="0.2">
      <c r="A273">
        <v>2</v>
      </c>
      <c r="B273" t="s">
        <v>463</v>
      </c>
      <c r="C273" t="s">
        <v>382</v>
      </c>
      <c r="D273" t="s">
        <v>6</v>
      </c>
      <c r="E273" t="s">
        <v>298</v>
      </c>
      <c r="F273" t="s">
        <v>6</v>
      </c>
      <c r="G273" t="s">
        <v>113</v>
      </c>
      <c r="H273" t="s">
        <v>440</v>
      </c>
      <c r="I273" t="s">
        <v>514</v>
      </c>
      <c r="J273" s="6">
        <v>15.42</v>
      </c>
      <c r="K273" s="6">
        <v>23</v>
      </c>
    </row>
    <row r="274" spans="1:11" x14ac:dyDescent="0.2">
      <c r="A274">
        <v>2</v>
      </c>
      <c r="B274" t="s">
        <v>463</v>
      </c>
      <c r="C274" t="s">
        <v>18</v>
      </c>
      <c r="D274" t="s">
        <v>5</v>
      </c>
      <c r="E274" t="s">
        <v>124</v>
      </c>
      <c r="F274" t="s">
        <v>5</v>
      </c>
      <c r="G274" t="s">
        <v>17</v>
      </c>
      <c r="H274" t="s">
        <v>440</v>
      </c>
      <c r="I274" t="s">
        <v>514</v>
      </c>
      <c r="J274" s="6">
        <v>14.31</v>
      </c>
      <c r="K274" s="6">
        <v>11.7</v>
      </c>
    </row>
    <row r="275" spans="1:11" x14ac:dyDescent="0.2">
      <c r="A275">
        <v>2</v>
      </c>
      <c r="B275" t="s">
        <v>463</v>
      </c>
      <c r="C275" t="s">
        <v>377</v>
      </c>
      <c r="D275" t="s">
        <v>6</v>
      </c>
      <c r="E275" t="s">
        <v>285</v>
      </c>
      <c r="F275" t="s">
        <v>6</v>
      </c>
      <c r="G275" t="s">
        <v>157</v>
      </c>
      <c r="H275" t="s">
        <v>440</v>
      </c>
      <c r="I275" t="s">
        <v>514</v>
      </c>
      <c r="J275" s="6">
        <v>12.5</v>
      </c>
      <c r="K275" s="6">
        <v>7</v>
      </c>
    </row>
    <row r="276" spans="1:11" x14ac:dyDescent="0.2">
      <c r="A276">
        <v>2</v>
      </c>
      <c r="B276" t="s">
        <v>463</v>
      </c>
      <c r="C276" t="s">
        <v>370</v>
      </c>
      <c r="D276" t="s">
        <v>6</v>
      </c>
      <c r="E276" t="s">
        <v>294</v>
      </c>
      <c r="F276" t="s">
        <v>11</v>
      </c>
      <c r="G276" t="s">
        <v>68</v>
      </c>
      <c r="H276" t="s">
        <v>440</v>
      </c>
      <c r="I276" t="s">
        <v>514</v>
      </c>
      <c r="J276" s="6">
        <v>9.93</v>
      </c>
      <c r="K276" s="6">
        <v>17.8</v>
      </c>
    </row>
    <row r="277" spans="1:11" x14ac:dyDescent="0.2">
      <c r="A277">
        <v>2</v>
      </c>
      <c r="B277" t="s">
        <v>463</v>
      </c>
      <c r="C277" t="s">
        <v>61</v>
      </c>
      <c r="D277" t="s">
        <v>5</v>
      </c>
      <c r="E277" t="s">
        <v>62</v>
      </c>
      <c r="F277" t="s">
        <v>16</v>
      </c>
      <c r="G277" t="s">
        <v>311</v>
      </c>
      <c r="H277" t="s">
        <v>440</v>
      </c>
      <c r="I277" t="s">
        <v>514</v>
      </c>
      <c r="J277" s="6">
        <v>8.35</v>
      </c>
      <c r="K277" s="6">
        <v>13.6</v>
      </c>
    </row>
    <row r="278" spans="1:11" x14ac:dyDescent="0.2">
      <c r="A278">
        <v>2</v>
      </c>
      <c r="B278" t="s">
        <v>463</v>
      </c>
      <c r="C278" t="s">
        <v>353</v>
      </c>
      <c r="D278" t="s">
        <v>5</v>
      </c>
      <c r="E278" t="s">
        <v>299</v>
      </c>
      <c r="F278" t="s">
        <v>5</v>
      </c>
      <c r="G278" t="s">
        <v>229</v>
      </c>
      <c r="H278" t="s">
        <v>440</v>
      </c>
      <c r="I278" t="s">
        <v>514</v>
      </c>
      <c r="J278" s="6">
        <v>9.11</v>
      </c>
      <c r="K278" s="6">
        <v>5.4</v>
      </c>
    </row>
    <row r="279" spans="1:11" x14ac:dyDescent="0.2">
      <c r="A279">
        <v>2</v>
      </c>
      <c r="B279" t="s">
        <v>463</v>
      </c>
      <c r="C279" t="s">
        <v>109</v>
      </c>
      <c r="D279" t="s">
        <v>5</v>
      </c>
      <c r="E279" t="s">
        <v>123</v>
      </c>
      <c r="F279" t="s">
        <v>11</v>
      </c>
      <c r="G279" t="s">
        <v>200</v>
      </c>
      <c r="H279" t="s">
        <v>440</v>
      </c>
      <c r="I279" t="s">
        <v>514</v>
      </c>
      <c r="J279" s="6">
        <v>9.33</v>
      </c>
      <c r="K279" s="6">
        <v>9.6999999999999993</v>
      </c>
    </row>
    <row r="280" spans="1:11" x14ac:dyDescent="0.2">
      <c r="A280">
        <v>2</v>
      </c>
      <c r="B280" t="s">
        <v>463</v>
      </c>
      <c r="C280" t="s">
        <v>79</v>
      </c>
      <c r="D280" t="s">
        <v>6</v>
      </c>
      <c r="E280" t="s">
        <v>62</v>
      </c>
      <c r="F280" t="s">
        <v>16</v>
      </c>
      <c r="G280" t="s">
        <v>161</v>
      </c>
      <c r="H280" t="s">
        <v>440</v>
      </c>
      <c r="I280" t="s">
        <v>514</v>
      </c>
      <c r="J280" s="6">
        <v>8.77</v>
      </c>
      <c r="K280" s="6">
        <v>11.1</v>
      </c>
    </row>
    <row r="281" spans="1:11" x14ac:dyDescent="0.2">
      <c r="A281">
        <v>2</v>
      </c>
      <c r="B281" t="s">
        <v>463</v>
      </c>
      <c r="C281" t="s">
        <v>48</v>
      </c>
      <c r="D281" t="s">
        <v>6</v>
      </c>
      <c r="E281" t="s">
        <v>34</v>
      </c>
      <c r="F281" t="s">
        <v>11</v>
      </c>
      <c r="G281" t="s">
        <v>466</v>
      </c>
      <c r="H281" t="s">
        <v>440</v>
      </c>
      <c r="I281" t="s">
        <v>514</v>
      </c>
      <c r="J281" s="6">
        <v>0</v>
      </c>
      <c r="K281" s="6">
        <v>0</v>
      </c>
    </row>
    <row r="282" spans="1:11" x14ac:dyDescent="0.2">
      <c r="A282">
        <v>2</v>
      </c>
      <c r="B282" t="s">
        <v>463</v>
      </c>
      <c r="C282" t="s">
        <v>19</v>
      </c>
      <c r="D282" t="s">
        <v>4</v>
      </c>
      <c r="E282" t="s">
        <v>52</v>
      </c>
      <c r="F282" t="s">
        <v>4</v>
      </c>
      <c r="G282" t="s">
        <v>192</v>
      </c>
      <c r="H282" t="s">
        <v>440</v>
      </c>
      <c r="I282" t="s">
        <v>514</v>
      </c>
      <c r="J282" s="6">
        <v>20.59</v>
      </c>
      <c r="K282" s="6">
        <v>28.48</v>
      </c>
    </row>
    <row r="283" spans="1:11" x14ac:dyDescent="0.2">
      <c r="A283">
        <v>2</v>
      </c>
      <c r="B283" t="s">
        <v>463</v>
      </c>
      <c r="C283" t="s">
        <v>387</v>
      </c>
      <c r="D283" t="s">
        <v>9</v>
      </c>
      <c r="E283" t="s">
        <v>358</v>
      </c>
      <c r="F283" t="s">
        <v>11</v>
      </c>
      <c r="G283" t="s">
        <v>206</v>
      </c>
      <c r="H283" t="s">
        <v>440</v>
      </c>
      <c r="I283" t="s">
        <v>514</v>
      </c>
      <c r="J283" s="6">
        <v>0</v>
      </c>
      <c r="K283" s="6">
        <v>0</v>
      </c>
    </row>
    <row r="284" spans="1:11" x14ac:dyDescent="0.2">
      <c r="A284">
        <v>2</v>
      </c>
      <c r="B284" t="s">
        <v>463</v>
      </c>
      <c r="C284" t="s">
        <v>352</v>
      </c>
      <c r="D284" t="s">
        <v>6</v>
      </c>
      <c r="E284" t="s">
        <v>287</v>
      </c>
      <c r="F284" t="s">
        <v>16</v>
      </c>
      <c r="G284" t="s">
        <v>467</v>
      </c>
      <c r="H284" t="s">
        <v>440</v>
      </c>
      <c r="I284" t="s">
        <v>514</v>
      </c>
      <c r="J284" s="6">
        <v>7.56</v>
      </c>
      <c r="K284" s="6">
        <v>2.9</v>
      </c>
    </row>
    <row r="285" spans="1:11" x14ac:dyDescent="0.2">
      <c r="A285">
        <v>2</v>
      </c>
      <c r="B285" t="s">
        <v>463</v>
      </c>
      <c r="C285" t="s">
        <v>108</v>
      </c>
      <c r="D285" t="s">
        <v>9</v>
      </c>
      <c r="E285" t="s">
        <v>55</v>
      </c>
      <c r="F285" t="s">
        <v>9</v>
      </c>
      <c r="G285" t="s">
        <v>303</v>
      </c>
      <c r="H285" t="s">
        <v>440</v>
      </c>
      <c r="I285" t="s">
        <v>514</v>
      </c>
      <c r="J285" s="6">
        <v>7.64</v>
      </c>
      <c r="K285" s="6">
        <v>3.8</v>
      </c>
    </row>
    <row r="286" spans="1:11" x14ac:dyDescent="0.2">
      <c r="A286">
        <v>2</v>
      </c>
      <c r="B286" t="s">
        <v>463</v>
      </c>
      <c r="C286" t="s">
        <v>349</v>
      </c>
      <c r="D286" t="s">
        <v>6</v>
      </c>
      <c r="E286" t="s">
        <v>284</v>
      </c>
      <c r="F286" t="s">
        <v>16</v>
      </c>
      <c r="G286" t="s">
        <v>248</v>
      </c>
      <c r="H286" t="s">
        <v>440</v>
      </c>
      <c r="I286" t="s">
        <v>514</v>
      </c>
      <c r="J286" s="6">
        <v>7.17</v>
      </c>
      <c r="K286" s="6">
        <v>9.9</v>
      </c>
    </row>
    <row r="287" spans="1:11" x14ac:dyDescent="0.2">
      <c r="A287">
        <v>2</v>
      </c>
      <c r="B287" t="s">
        <v>463</v>
      </c>
      <c r="C287" t="s">
        <v>97</v>
      </c>
      <c r="D287" t="s">
        <v>12</v>
      </c>
      <c r="E287" t="s">
        <v>52</v>
      </c>
      <c r="F287" t="s">
        <v>12</v>
      </c>
      <c r="G287" t="s">
        <v>96</v>
      </c>
      <c r="H287" t="s">
        <v>440</v>
      </c>
      <c r="I287" t="s">
        <v>514</v>
      </c>
      <c r="J287" s="6">
        <v>6.61</v>
      </c>
      <c r="K287" s="6">
        <v>9</v>
      </c>
    </row>
    <row r="288" spans="1:11" x14ac:dyDescent="0.2">
      <c r="A288">
        <v>2</v>
      </c>
      <c r="B288" t="s">
        <v>463</v>
      </c>
      <c r="C288" t="s">
        <v>388</v>
      </c>
      <c r="D288" t="s">
        <v>13</v>
      </c>
      <c r="E288" t="s">
        <v>283</v>
      </c>
      <c r="F288" t="s">
        <v>13</v>
      </c>
      <c r="G288" t="s">
        <v>90</v>
      </c>
      <c r="H288" t="s">
        <v>440</v>
      </c>
      <c r="I288" t="s">
        <v>514</v>
      </c>
      <c r="J288" s="6">
        <v>8.66</v>
      </c>
      <c r="K288" s="6">
        <v>5</v>
      </c>
    </row>
    <row r="289" spans="1:11" x14ac:dyDescent="0.2">
      <c r="A289">
        <v>2</v>
      </c>
      <c r="B289" t="s">
        <v>494</v>
      </c>
      <c r="C289" t="s">
        <v>369</v>
      </c>
      <c r="D289" t="s">
        <v>5</v>
      </c>
      <c r="E289" t="s">
        <v>284</v>
      </c>
      <c r="F289" t="s">
        <v>5</v>
      </c>
      <c r="G289" t="s">
        <v>74</v>
      </c>
      <c r="H289" t="s">
        <v>468</v>
      </c>
      <c r="I289" t="s">
        <v>515</v>
      </c>
      <c r="J289" s="6">
        <v>16.38</v>
      </c>
      <c r="K289" s="6">
        <v>2.5</v>
      </c>
    </row>
    <row r="290" spans="1:11" x14ac:dyDescent="0.2">
      <c r="A290">
        <v>2</v>
      </c>
      <c r="B290" t="s">
        <v>494</v>
      </c>
      <c r="C290" t="s">
        <v>404</v>
      </c>
      <c r="D290" t="s">
        <v>6</v>
      </c>
      <c r="E290" t="s">
        <v>295</v>
      </c>
      <c r="F290" t="s">
        <v>6</v>
      </c>
      <c r="G290" t="s">
        <v>117</v>
      </c>
      <c r="H290" t="s">
        <v>468</v>
      </c>
      <c r="I290" t="s">
        <v>515</v>
      </c>
      <c r="J290" s="6">
        <v>10.34</v>
      </c>
      <c r="K290" s="6">
        <v>6.9</v>
      </c>
    </row>
    <row r="291" spans="1:11" x14ac:dyDescent="0.2">
      <c r="A291">
        <v>2</v>
      </c>
      <c r="B291" t="s">
        <v>494</v>
      </c>
      <c r="C291" t="s">
        <v>54</v>
      </c>
      <c r="D291" t="s">
        <v>6</v>
      </c>
      <c r="E291" t="s">
        <v>125</v>
      </c>
      <c r="F291" t="s">
        <v>6</v>
      </c>
      <c r="G291" t="s">
        <v>238</v>
      </c>
      <c r="H291" t="s">
        <v>468</v>
      </c>
      <c r="I291" t="s">
        <v>515</v>
      </c>
      <c r="J291" s="6">
        <v>12.01</v>
      </c>
      <c r="K291" s="6">
        <v>5</v>
      </c>
    </row>
    <row r="292" spans="1:11" x14ac:dyDescent="0.2">
      <c r="A292">
        <v>2</v>
      </c>
      <c r="B292" t="s">
        <v>494</v>
      </c>
      <c r="C292" t="s">
        <v>75</v>
      </c>
      <c r="D292" t="s">
        <v>5</v>
      </c>
      <c r="E292" t="s">
        <v>46</v>
      </c>
      <c r="F292" t="s">
        <v>5</v>
      </c>
      <c r="G292" t="s">
        <v>325</v>
      </c>
      <c r="H292" t="s">
        <v>468</v>
      </c>
      <c r="I292" t="s">
        <v>515</v>
      </c>
      <c r="J292" s="6">
        <v>12</v>
      </c>
      <c r="K292" s="6">
        <v>7.5</v>
      </c>
    </row>
    <row r="293" spans="1:11" x14ac:dyDescent="0.2">
      <c r="A293">
        <v>2</v>
      </c>
      <c r="B293" t="s">
        <v>494</v>
      </c>
      <c r="C293" t="s">
        <v>376</v>
      </c>
      <c r="D293" t="s">
        <v>6</v>
      </c>
      <c r="E293" t="s">
        <v>299</v>
      </c>
      <c r="F293" t="s">
        <v>11</v>
      </c>
      <c r="G293" t="s">
        <v>76</v>
      </c>
      <c r="H293" t="s">
        <v>468</v>
      </c>
      <c r="I293" t="s">
        <v>515</v>
      </c>
      <c r="J293" s="6">
        <v>10.119999999999999</v>
      </c>
      <c r="K293" s="6">
        <v>4.7</v>
      </c>
    </row>
    <row r="294" spans="1:11" x14ac:dyDescent="0.2">
      <c r="A294">
        <v>2</v>
      </c>
      <c r="B294" t="s">
        <v>494</v>
      </c>
      <c r="C294" t="s">
        <v>386</v>
      </c>
      <c r="D294" t="s">
        <v>5</v>
      </c>
      <c r="E294" t="s">
        <v>297</v>
      </c>
      <c r="F294" t="s">
        <v>11</v>
      </c>
      <c r="G294" t="s">
        <v>45</v>
      </c>
      <c r="H294" t="s">
        <v>468</v>
      </c>
      <c r="I294" t="s">
        <v>515</v>
      </c>
      <c r="J294" s="6">
        <v>10.16</v>
      </c>
      <c r="K294" s="6">
        <v>7</v>
      </c>
    </row>
    <row r="295" spans="1:11" x14ac:dyDescent="0.2">
      <c r="A295">
        <v>2</v>
      </c>
      <c r="B295" t="s">
        <v>494</v>
      </c>
      <c r="C295" t="s">
        <v>394</v>
      </c>
      <c r="D295" t="s">
        <v>4</v>
      </c>
      <c r="E295" t="s">
        <v>360</v>
      </c>
      <c r="F295" t="s">
        <v>4</v>
      </c>
      <c r="G295" t="s">
        <v>118</v>
      </c>
      <c r="H295" t="s">
        <v>468</v>
      </c>
      <c r="I295" t="s">
        <v>515</v>
      </c>
      <c r="J295" s="6">
        <v>15.91</v>
      </c>
      <c r="K295" s="6">
        <v>6.16</v>
      </c>
    </row>
    <row r="296" spans="1:11" x14ac:dyDescent="0.2">
      <c r="A296">
        <v>2</v>
      </c>
      <c r="B296" t="s">
        <v>494</v>
      </c>
      <c r="C296" t="s">
        <v>8</v>
      </c>
      <c r="D296" t="s">
        <v>6</v>
      </c>
      <c r="E296" t="s">
        <v>52</v>
      </c>
      <c r="F296" t="s">
        <v>16</v>
      </c>
      <c r="G296" t="s">
        <v>213</v>
      </c>
      <c r="H296" t="s">
        <v>468</v>
      </c>
      <c r="I296" t="s">
        <v>515</v>
      </c>
      <c r="J296" s="6">
        <v>10.3</v>
      </c>
      <c r="K296" s="6">
        <v>5</v>
      </c>
    </row>
    <row r="297" spans="1:11" x14ac:dyDescent="0.2">
      <c r="A297">
        <v>2</v>
      </c>
      <c r="B297" t="s">
        <v>494</v>
      </c>
      <c r="C297" t="s">
        <v>365</v>
      </c>
      <c r="D297" t="s">
        <v>5</v>
      </c>
      <c r="E297" t="s">
        <v>293</v>
      </c>
      <c r="F297" t="s">
        <v>11</v>
      </c>
      <c r="G297" t="s">
        <v>231</v>
      </c>
      <c r="H297" t="s">
        <v>468</v>
      </c>
      <c r="I297" t="s">
        <v>515</v>
      </c>
      <c r="J297" s="6">
        <v>0</v>
      </c>
      <c r="K297" s="6">
        <v>0</v>
      </c>
    </row>
    <row r="298" spans="1:11" x14ac:dyDescent="0.2">
      <c r="A298">
        <v>2</v>
      </c>
      <c r="B298" t="s">
        <v>494</v>
      </c>
      <c r="C298" t="s">
        <v>417</v>
      </c>
      <c r="D298" t="s">
        <v>6</v>
      </c>
      <c r="E298" t="s">
        <v>301</v>
      </c>
      <c r="F298" t="s">
        <v>16</v>
      </c>
      <c r="G298" t="s">
        <v>498</v>
      </c>
      <c r="H298" t="s">
        <v>468</v>
      </c>
      <c r="I298" t="s">
        <v>515</v>
      </c>
      <c r="J298" s="6">
        <v>7.78</v>
      </c>
      <c r="K298" s="6">
        <v>5.2</v>
      </c>
    </row>
    <row r="299" spans="1:11" x14ac:dyDescent="0.2">
      <c r="A299">
        <v>2</v>
      </c>
      <c r="B299" t="s">
        <v>494</v>
      </c>
      <c r="C299" t="s">
        <v>410</v>
      </c>
      <c r="D299" t="s">
        <v>9</v>
      </c>
      <c r="E299" t="s">
        <v>293</v>
      </c>
      <c r="F299" t="s">
        <v>9</v>
      </c>
      <c r="G299" t="s">
        <v>115</v>
      </c>
      <c r="H299" t="s">
        <v>468</v>
      </c>
      <c r="I299" t="s">
        <v>515</v>
      </c>
      <c r="J299" s="6">
        <v>7.33</v>
      </c>
      <c r="K299" s="6">
        <v>4.4000000000000004</v>
      </c>
    </row>
    <row r="300" spans="1:11" x14ac:dyDescent="0.2">
      <c r="A300">
        <v>2</v>
      </c>
      <c r="B300" t="s">
        <v>494</v>
      </c>
      <c r="C300" t="s">
        <v>400</v>
      </c>
      <c r="D300" t="s">
        <v>4</v>
      </c>
      <c r="E300" t="s">
        <v>293</v>
      </c>
      <c r="F300" t="s">
        <v>16</v>
      </c>
      <c r="G300" t="s">
        <v>112</v>
      </c>
      <c r="H300" t="s">
        <v>468</v>
      </c>
      <c r="I300" t="s">
        <v>515</v>
      </c>
      <c r="J300" s="6">
        <v>0</v>
      </c>
      <c r="K300" s="6">
        <v>0</v>
      </c>
    </row>
    <row r="301" spans="1:11" x14ac:dyDescent="0.2">
      <c r="A301">
        <v>2</v>
      </c>
      <c r="B301" t="s">
        <v>494</v>
      </c>
      <c r="C301" t="s">
        <v>403</v>
      </c>
      <c r="D301" t="s">
        <v>13</v>
      </c>
      <c r="E301" t="s">
        <v>290</v>
      </c>
      <c r="F301" t="s">
        <v>13</v>
      </c>
      <c r="G301" t="s">
        <v>330</v>
      </c>
      <c r="H301" t="s">
        <v>468</v>
      </c>
      <c r="I301" t="s">
        <v>515</v>
      </c>
      <c r="J301" s="6">
        <v>9.06</v>
      </c>
      <c r="K301" s="6">
        <v>5</v>
      </c>
    </row>
    <row r="302" spans="1:11" x14ac:dyDescent="0.2">
      <c r="A302">
        <v>2</v>
      </c>
      <c r="B302" t="s">
        <v>494</v>
      </c>
      <c r="C302" t="s">
        <v>102</v>
      </c>
      <c r="D302" t="s">
        <v>5</v>
      </c>
      <c r="E302" t="s">
        <v>24</v>
      </c>
      <c r="F302" t="s">
        <v>16</v>
      </c>
      <c r="G302" t="s">
        <v>455</v>
      </c>
      <c r="H302" t="s">
        <v>468</v>
      </c>
      <c r="I302" t="s">
        <v>515</v>
      </c>
      <c r="J302" s="6">
        <v>8.68</v>
      </c>
      <c r="K302" s="6">
        <v>3.1</v>
      </c>
    </row>
    <row r="303" spans="1:11" x14ac:dyDescent="0.2">
      <c r="A303">
        <v>2</v>
      </c>
      <c r="B303" t="s">
        <v>494</v>
      </c>
      <c r="C303" t="s">
        <v>58</v>
      </c>
      <c r="D303" t="s">
        <v>12</v>
      </c>
      <c r="E303" t="s">
        <v>24</v>
      </c>
      <c r="F303" t="s">
        <v>12</v>
      </c>
      <c r="G303" t="s">
        <v>421</v>
      </c>
      <c r="H303" t="s">
        <v>468</v>
      </c>
      <c r="I303" t="s">
        <v>515</v>
      </c>
      <c r="J303" s="6">
        <v>5.99</v>
      </c>
      <c r="K303" s="6">
        <v>7</v>
      </c>
    </row>
    <row r="304" spans="1:11" x14ac:dyDescent="0.2">
      <c r="A304">
        <v>2</v>
      </c>
      <c r="B304" t="s">
        <v>468</v>
      </c>
      <c r="C304" t="s">
        <v>415</v>
      </c>
      <c r="D304" t="s">
        <v>5</v>
      </c>
      <c r="E304" t="s">
        <v>283</v>
      </c>
      <c r="F304" t="s">
        <v>5</v>
      </c>
      <c r="G304" t="s">
        <v>348</v>
      </c>
      <c r="H304" t="s">
        <v>516</v>
      </c>
      <c r="I304" t="s">
        <v>517</v>
      </c>
      <c r="J304" s="6">
        <v>17.04</v>
      </c>
      <c r="K304" s="6">
        <v>20.399999999999999</v>
      </c>
    </row>
    <row r="305" spans="1:11" x14ac:dyDescent="0.2">
      <c r="A305">
        <v>2</v>
      </c>
      <c r="B305" t="s">
        <v>468</v>
      </c>
      <c r="C305" t="s">
        <v>409</v>
      </c>
      <c r="D305" t="s">
        <v>4</v>
      </c>
      <c r="E305" t="s">
        <v>283</v>
      </c>
      <c r="F305" t="s">
        <v>4</v>
      </c>
      <c r="G305" t="s">
        <v>49</v>
      </c>
      <c r="H305" t="s">
        <v>516</v>
      </c>
      <c r="I305" t="s">
        <v>517</v>
      </c>
      <c r="J305" s="6">
        <v>22.65</v>
      </c>
      <c r="K305" s="6">
        <v>40.82</v>
      </c>
    </row>
    <row r="306" spans="1:11" x14ac:dyDescent="0.2">
      <c r="A306">
        <v>2</v>
      </c>
      <c r="B306" t="s">
        <v>468</v>
      </c>
      <c r="C306" t="s">
        <v>349</v>
      </c>
      <c r="D306" t="s">
        <v>6</v>
      </c>
      <c r="E306" t="s">
        <v>284</v>
      </c>
      <c r="F306" t="s">
        <v>6</v>
      </c>
      <c r="G306" t="s">
        <v>89</v>
      </c>
      <c r="H306" t="s">
        <v>516</v>
      </c>
      <c r="I306" t="s">
        <v>517</v>
      </c>
      <c r="J306" s="6">
        <v>11.31</v>
      </c>
      <c r="K306" s="6">
        <v>22.7</v>
      </c>
    </row>
    <row r="307" spans="1:11" x14ac:dyDescent="0.2">
      <c r="A307">
        <v>2</v>
      </c>
      <c r="B307" t="s">
        <v>468</v>
      </c>
      <c r="C307" t="s">
        <v>428</v>
      </c>
      <c r="D307" t="s">
        <v>9</v>
      </c>
      <c r="E307" t="s">
        <v>296</v>
      </c>
      <c r="F307" t="s">
        <v>9</v>
      </c>
      <c r="G307" t="s">
        <v>323</v>
      </c>
      <c r="H307" t="s">
        <v>516</v>
      </c>
      <c r="I307" t="s">
        <v>517</v>
      </c>
      <c r="J307" s="6">
        <v>9.42</v>
      </c>
      <c r="K307" s="6">
        <v>0.8</v>
      </c>
    </row>
    <row r="308" spans="1:11" x14ac:dyDescent="0.2">
      <c r="A308">
        <v>2</v>
      </c>
      <c r="B308" t="s">
        <v>468</v>
      </c>
      <c r="C308" t="s">
        <v>61</v>
      </c>
      <c r="D308" t="s">
        <v>5</v>
      </c>
      <c r="E308" t="s">
        <v>62</v>
      </c>
      <c r="F308" t="s">
        <v>5</v>
      </c>
      <c r="G308" t="s">
        <v>60</v>
      </c>
      <c r="H308" t="s">
        <v>516</v>
      </c>
      <c r="I308" t="s">
        <v>517</v>
      </c>
      <c r="J308" s="6">
        <v>11.61</v>
      </c>
      <c r="K308" s="6">
        <v>3.1</v>
      </c>
    </row>
    <row r="309" spans="1:11" x14ac:dyDescent="0.2">
      <c r="A309">
        <v>2</v>
      </c>
      <c r="B309" t="s">
        <v>468</v>
      </c>
      <c r="C309" t="s">
        <v>355</v>
      </c>
      <c r="D309" t="s">
        <v>6</v>
      </c>
      <c r="E309" t="s">
        <v>291</v>
      </c>
      <c r="F309" t="s">
        <v>6</v>
      </c>
      <c r="G309" t="s">
        <v>243</v>
      </c>
      <c r="H309" t="s">
        <v>516</v>
      </c>
      <c r="I309" t="s">
        <v>517</v>
      </c>
      <c r="J309" s="6">
        <v>9.15</v>
      </c>
      <c r="K309" s="6">
        <v>1.6</v>
      </c>
    </row>
    <row r="310" spans="1:11" x14ac:dyDescent="0.2">
      <c r="A310">
        <v>2</v>
      </c>
      <c r="B310" t="s">
        <v>468</v>
      </c>
      <c r="C310" t="s">
        <v>359</v>
      </c>
      <c r="D310" t="s">
        <v>6</v>
      </c>
      <c r="E310" t="s">
        <v>360</v>
      </c>
      <c r="F310" t="s">
        <v>11</v>
      </c>
      <c r="G310" t="s">
        <v>207</v>
      </c>
      <c r="H310" t="s">
        <v>516</v>
      </c>
      <c r="I310" t="s">
        <v>517</v>
      </c>
      <c r="J310" s="6">
        <v>8.09</v>
      </c>
      <c r="K310" s="6">
        <v>5.5</v>
      </c>
    </row>
    <row r="311" spans="1:11" x14ac:dyDescent="0.2">
      <c r="A311">
        <v>2</v>
      </c>
      <c r="B311" t="s">
        <v>468</v>
      </c>
      <c r="C311" t="s">
        <v>354</v>
      </c>
      <c r="D311" t="s">
        <v>5</v>
      </c>
      <c r="E311" t="s">
        <v>294</v>
      </c>
      <c r="F311" t="s">
        <v>16</v>
      </c>
      <c r="G311" t="s">
        <v>319</v>
      </c>
      <c r="H311" t="s">
        <v>516</v>
      </c>
      <c r="I311" t="s">
        <v>517</v>
      </c>
      <c r="J311" s="6">
        <v>0</v>
      </c>
      <c r="K311" s="6">
        <v>0</v>
      </c>
    </row>
    <row r="312" spans="1:11" x14ac:dyDescent="0.2">
      <c r="A312">
        <v>2</v>
      </c>
      <c r="B312" t="s">
        <v>468</v>
      </c>
      <c r="C312" t="s">
        <v>8</v>
      </c>
      <c r="D312" t="s">
        <v>6</v>
      </c>
      <c r="E312" t="s">
        <v>52</v>
      </c>
      <c r="F312" t="s">
        <v>11</v>
      </c>
      <c r="G312" t="s">
        <v>471</v>
      </c>
      <c r="H312" t="s">
        <v>516</v>
      </c>
      <c r="I312" t="s">
        <v>517</v>
      </c>
      <c r="J312" s="6">
        <v>0</v>
      </c>
      <c r="K312" s="6">
        <v>0</v>
      </c>
    </row>
    <row r="313" spans="1:11" x14ac:dyDescent="0.2">
      <c r="A313">
        <v>2</v>
      </c>
      <c r="B313" t="s">
        <v>468</v>
      </c>
      <c r="C313" t="s">
        <v>426</v>
      </c>
      <c r="D313" t="s">
        <v>13</v>
      </c>
      <c r="E313" t="s">
        <v>360</v>
      </c>
      <c r="F313" t="s">
        <v>13</v>
      </c>
      <c r="G313" t="s">
        <v>329</v>
      </c>
      <c r="H313" t="s">
        <v>516</v>
      </c>
      <c r="I313" t="s">
        <v>517</v>
      </c>
      <c r="J313" s="6">
        <v>8.16</v>
      </c>
      <c r="K313" s="6">
        <v>7</v>
      </c>
    </row>
    <row r="314" spans="1:11" x14ac:dyDescent="0.2">
      <c r="A314">
        <v>2</v>
      </c>
      <c r="B314" t="s">
        <v>468</v>
      </c>
      <c r="C314" t="s">
        <v>420</v>
      </c>
      <c r="D314" t="s">
        <v>5</v>
      </c>
      <c r="E314" t="s">
        <v>360</v>
      </c>
      <c r="F314" t="s">
        <v>16</v>
      </c>
      <c r="G314" t="s">
        <v>453</v>
      </c>
      <c r="H314" t="s">
        <v>516</v>
      </c>
      <c r="I314" t="s">
        <v>517</v>
      </c>
      <c r="J314" s="6">
        <v>4.63</v>
      </c>
      <c r="K314" s="6">
        <v>1.3</v>
      </c>
    </row>
    <row r="315" spans="1:11" x14ac:dyDescent="0.2">
      <c r="A315">
        <v>2</v>
      </c>
      <c r="B315" t="s">
        <v>468</v>
      </c>
      <c r="C315" t="s">
        <v>417</v>
      </c>
      <c r="D315" t="s">
        <v>6</v>
      </c>
      <c r="E315" t="s">
        <v>301</v>
      </c>
      <c r="F315" t="s">
        <v>16</v>
      </c>
      <c r="G315" t="s">
        <v>472</v>
      </c>
      <c r="H315" t="s">
        <v>516</v>
      </c>
      <c r="I315" t="s">
        <v>517</v>
      </c>
      <c r="J315" s="6">
        <v>7.52</v>
      </c>
      <c r="K315" s="6">
        <v>18</v>
      </c>
    </row>
    <row r="316" spans="1:11" x14ac:dyDescent="0.2">
      <c r="A316">
        <v>2</v>
      </c>
      <c r="B316" t="s">
        <v>468</v>
      </c>
      <c r="C316" t="s">
        <v>80</v>
      </c>
      <c r="D316" t="s">
        <v>12</v>
      </c>
      <c r="E316" t="s">
        <v>125</v>
      </c>
      <c r="F316" t="s">
        <v>12</v>
      </c>
      <c r="G316" t="s">
        <v>445</v>
      </c>
      <c r="H316" t="s">
        <v>516</v>
      </c>
      <c r="I316" t="s">
        <v>517</v>
      </c>
      <c r="J316" s="6">
        <v>6.8</v>
      </c>
      <c r="K316" s="6">
        <v>4</v>
      </c>
    </row>
    <row r="317" spans="1:11" x14ac:dyDescent="0.2">
      <c r="A317">
        <v>2</v>
      </c>
      <c r="B317" t="s">
        <v>468</v>
      </c>
      <c r="C317" t="s">
        <v>72</v>
      </c>
      <c r="D317" t="s">
        <v>6</v>
      </c>
      <c r="E317" t="s">
        <v>25</v>
      </c>
      <c r="F317" t="s">
        <v>16</v>
      </c>
      <c r="G317" t="s">
        <v>473</v>
      </c>
      <c r="H317" t="s">
        <v>516</v>
      </c>
      <c r="I317" t="s">
        <v>517</v>
      </c>
      <c r="J317" s="6">
        <v>1.68</v>
      </c>
      <c r="K317" s="6">
        <v>0</v>
      </c>
    </row>
    <row r="318" spans="1:11" x14ac:dyDescent="0.2">
      <c r="A318">
        <v>2</v>
      </c>
      <c r="B318" t="s">
        <v>468</v>
      </c>
      <c r="C318" t="s">
        <v>8</v>
      </c>
      <c r="D318" t="s">
        <v>6</v>
      </c>
      <c r="E318" t="s">
        <v>52</v>
      </c>
      <c r="F318" t="s">
        <v>11</v>
      </c>
      <c r="G318" t="s">
        <v>241</v>
      </c>
      <c r="H318" t="s">
        <v>516</v>
      </c>
      <c r="I318" t="s">
        <v>517</v>
      </c>
      <c r="J318" s="6">
        <v>6.45</v>
      </c>
      <c r="K318" s="6">
        <v>4.9000000000000004</v>
      </c>
    </row>
    <row r="319" spans="1:11" x14ac:dyDescent="0.2">
      <c r="A319">
        <v>2</v>
      </c>
      <c r="B319" t="s">
        <v>255</v>
      </c>
      <c r="C319" t="s">
        <v>377</v>
      </c>
      <c r="D319" t="s">
        <v>6</v>
      </c>
      <c r="E319" t="s">
        <v>285</v>
      </c>
      <c r="F319" t="s">
        <v>6</v>
      </c>
      <c r="G319" t="s">
        <v>67</v>
      </c>
      <c r="H319" t="s">
        <v>478</v>
      </c>
      <c r="I319" t="s">
        <v>518</v>
      </c>
      <c r="J319" s="6">
        <v>14.93</v>
      </c>
      <c r="K319" s="6">
        <v>31.3</v>
      </c>
    </row>
    <row r="320" spans="1:11" x14ac:dyDescent="0.2">
      <c r="A320">
        <v>2</v>
      </c>
      <c r="B320" t="s">
        <v>255</v>
      </c>
      <c r="C320" t="s">
        <v>350</v>
      </c>
      <c r="D320" t="s">
        <v>5</v>
      </c>
      <c r="E320" t="s">
        <v>300</v>
      </c>
      <c r="F320" t="s">
        <v>5</v>
      </c>
      <c r="G320" t="s">
        <v>503</v>
      </c>
      <c r="H320" t="s">
        <v>478</v>
      </c>
      <c r="I320" t="s">
        <v>518</v>
      </c>
      <c r="J320" s="6">
        <v>11.27</v>
      </c>
      <c r="K320" s="6">
        <v>6</v>
      </c>
    </row>
    <row r="321" spans="1:11" x14ac:dyDescent="0.2">
      <c r="A321">
        <v>2</v>
      </c>
      <c r="B321" t="s">
        <v>255</v>
      </c>
      <c r="C321" t="s">
        <v>150</v>
      </c>
      <c r="D321" t="s">
        <v>6</v>
      </c>
      <c r="E321" t="s">
        <v>46</v>
      </c>
      <c r="F321" t="s">
        <v>6</v>
      </c>
      <c r="G321" t="s">
        <v>212</v>
      </c>
      <c r="H321" t="s">
        <v>478</v>
      </c>
      <c r="I321" t="s">
        <v>518</v>
      </c>
      <c r="J321" s="6">
        <v>12.26</v>
      </c>
      <c r="K321" s="6">
        <v>0.6</v>
      </c>
    </row>
    <row r="322" spans="1:11" x14ac:dyDescent="0.2">
      <c r="A322">
        <v>2</v>
      </c>
      <c r="B322" t="s">
        <v>255</v>
      </c>
      <c r="C322" t="s">
        <v>390</v>
      </c>
      <c r="D322" t="s">
        <v>6</v>
      </c>
      <c r="E322" t="s">
        <v>358</v>
      </c>
      <c r="F322" t="s">
        <v>11</v>
      </c>
      <c r="G322" t="s">
        <v>56</v>
      </c>
      <c r="H322" t="s">
        <v>478</v>
      </c>
      <c r="I322" t="s">
        <v>518</v>
      </c>
      <c r="J322" s="6">
        <v>10.19</v>
      </c>
      <c r="K322" s="6">
        <v>6</v>
      </c>
    </row>
    <row r="323" spans="1:11" x14ac:dyDescent="0.2">
      <c r="A323">
        <v>2</v>
      </c>
      <c r="B323" t="s">
        <v>255</v>
      </c>
      <c r="C323" t="s">
        <v>431</v>
      </c>
      <c r="D323" t="s">
        <v>4</v>
      </c>
      <c r="E323" t="s">
        <v>284</v>
      </c>
      <c r="F323" t="s">
        <v>4</v>
      </c>
      <c r="G323" t="s">
        <v>35</v>
      </c>
      <c r="H323" t="s">
        <v>478</v>
      </c>
      <c r="I323" t="s">
        <v>518</v>
      </c>
      <c r="J323" s="6">
        <v>19.95</v>
      </c>
      <c r="K323" s="6">
        <v>16.16</v>
      </c>
    </row>
    <row r="324" spans="1:11" x14ac:dyDescent="0.2">
      <c r="A324">
        <v>2</v>
      </c>
      <c r="B324" t="s">
        <v>255</v>
      </c>
      <c r="C324" t="s">
        <v>401</v>
      </c>
      <c r="D324" t="s">
        <v>9</v>
      </c>
      <c r="E324" t="s">
        <v>295</v>
      </c>
      <c r="F324" t="s">
        <v>9</v>
      </c>
      <c r="G324" t="s">
        <v>324</v>
      </c>
      <c r="H324" t="s">
        <v>478</v>
      </c>
      <c r="I324" t="s">
        <v>518</v>
      </c>
      <c r="J324" s="6">
        <v>8.2200000000000006</v>
      </c>
      <c r="K324" s="6">
        <v>2</v>
      </c>
    </row>
    <row r="325" spans="1:11" x14ac:dyDescent="0.2">
      <c r="A325">
        <v>2</v>
      </c>
      <c r="B325" t="s">
        <v>255</v>
      </c>
      <c r="C325" t="s">
        <v>393</v>
      </c>
      <c r="D325" t="s">
        <v>5</v>
      </c>
      <c r="E325" t="s">
        <v>289</v>
      </c>
      <c r="F325" t="s">
        <v>5</v>
      </c>
      <c r="G325" t="s">
        <v>201</v>
      </c>
      <c r="H325" t="s">
        <v>478</v>
      </c>
      <c r="I325" t="s">
        <v>518</v>
      </c>
      <c r="J325" s="6">
        <v>12.98</v>
      </c>
      <c r="K325" s="6">
        <v>13.4</v>
      </c>
    </row>
    <row r="326" spans="1:11" x14ac:dyDescent="0.2">
      <c r="A326">
        <v>2</v>
      </c>
      <c r="B326" t="s">
        <v>255</v>
      </c>
      <c r="C326" t="s">
        <v>92</v>
      </c>
      <c r="D326" t="s">
        <v>4</v>
      </c>
      <c r="E326" t="s">
        <v>125</v>
      </c>
      <c r="F326" t="s">
        <v>16</v>
      </c>
      <c r="G326" t="s">
        <v>91</v>
      </c>
      <c r="H326" t="s">
        <v>478</v>
      </c>
      <c r="I326" t="s">
        <v>518</v>
      </c>
      <c r="J326" s="6">
        <v>19.48</v>
      </c>
      <c r="K326" s="6">
        <v>7.88</v>
      </c>
    </row>
    <row r="327" spans="1:11" x14ac:dyDescent="0.2">
      <c r="A327">
        <v>2</v>
      </c>
      <c r="B327" t="s">
        <v>255</v>
      </c>
      <c r="C327" t="s">
        <v>438</v>
      </c>
      <c r="D327" t="s">
        <v>12</v>
      </c>
      <c r="E327" t="s">
        <v>294</v>
      </c>
      <c r="F327" t="s">
        <v>12</v>
      </c>
      <c r="G327" t="s">
        <v>144</v>
      </c>
      <c r="H327" t="s">
        <v>478</v>
      </c>
      <c r="I327" t="s">
        <v>518</v>
      </c>
      <c r="J327" s="6">
        <v>6.29</v>
      </c>
      <c r="K327" s="6">
        <v>9</v>
      </c>
    </row>
    <row r="328" spans="1:11" x14ac:dyDescent="0.2">
      <c r="A328">
        <v>2</v>
      </c>
      <c r="B328" t="s">
        <v>255</v>
      </c>
      <c r="C328" t="s">
        <v>347</v>
      </c>
      <c r="D328" t="s">
        <v>13</v>
      </c>
      <c r="E328" t="s">
        <v>123</v>
      </c>
      <c r="F328" t="s">
        <v>13</v>
      </c>
      <c r="G328" t="s">
        <v>456</v>
      </c>
      <c r="H328" t="s">
        <v>478</v>
      </c>
      <c r="I328" t="s">
        <v>518</v>
      </c>
      <c r="J328" s="6">
        <v>9.41</v>
      </c>
      <c r="K328" s="6">
        <v>3</v>
      </c>
    </row>
    <row r="329" spans="1:11" x14ac:dyDescent="0.2">
      <c r="A329">
        <v>2</v>
      </c>
      <c r="B329" t="s">
        <v>255</v>
      </c>
      <c r="C329" t="s">
        <v>88</v>
      </c>
      <c r="D329" t="s">
        <v>9</v>
      </c>
      <c r="E329" t="s">
        <v>25</v>
      </c>
      <c r="F329" t="s">
        <v>11</v>
      </c>
      <c r="G329" t="s">
        <v>87</v>
      </c>
      <c r="H329" t="s">
        <v>478</v>
      </c>
      <c r="I329" t="s">
        <v>518</v>
      </c>
      <c r="J329" s="6">
        <v>8.4499999999999993</v>
      </c>
      <c r="K329" s="6">
        <v>20.6</v>
      </c>
    </row>
    <row r="330" spans="1:11" x14ac:dyDescent="0.2">
      <c r="A330">
        <v>2</v>
      </c>
      <c r="B330" t="s">
        <v>255</v>
      </c>
      <c r="C330" t="s">
        <v>44</v>
      </c>
      <c r="D330" t="s">
        <v>5</v>
      </c>
      <c r="E330" t="s">
        <v>55</v>
      </c>
      <c r="F330" t="s">
        <v>16</v>
      </c>
      <c r="G330" t="s">
        <v>504</v>
      </c>
      <c r="H330" t="s">
        <v>478</v>
      </c>
      <c r="I330" t="s">
        <v>518</v>
      </c>
      <c r="J330" s="6">
        <v>3.69</v>
      </c>
      <c r="K330" s="6">
        <v>0.7</v>
      </c>
    </row>
    <row r="331" spans="1:11" x14ac:dyDescent="0.2">
      <c r="A331">
        <v>2</v>
      </c>
      <c r="B331" t="s">
        <v>255</v>
      </c>
      <c r="C331" t="s">
        <v>371</v>
      </c>
      <c r="D331" t="s">
        <v>6</v>
      </c>
      <c r="E331" t="s">
        <v>297</v>
      </c>
      <c r="F331" t="s">
        <v>16</v>
      </c>
      <c r="G331" t="s">
        <v>190</v>
      </c>
      <c r="H331" t="s">
        <v>478</v>
      </c>
      <c r="I331" t="s">
        <v>518</v>
      </c>
      <c r="J331" s="6">
        <v>5.23</v>
      </c>
      <c r="K331" s="6">
        <v>4.5</v>
      </c>
    </row>
    <row r="332" spans="1:11" x14ac:dyDescent="0.2">
      <c r="A332">
        <v>2</v>
      </c>
      <c r="B332" t="s">
        <v>255</v>
      </c>
      <c r="C332" t="s">
        <v>86</v>
      </c>
      <c r="D332" t="s">
        <v>6</v>
      </c>
      <c r="E332" t="s">
        <v>55</v>
      </c>
      <c r="F332" t="s">
        <v>16</v>
      </c>
      <c r="G332" t="s">
        <v>253</v>
      </c>
      <c r="H332" t="s">
        <v>478</v>
      </c>
      <c r="I332" t="s">
        <v>518</v>
      </c>
      <c r="J332" s="6">
        <v>8.08</v>
      </c>
      <c r="K332" s="6">
        <v>20.399999999999999</v>
      </c>
    </row>
    <row r="333" spans="1:11" x14ac:dyDescent="0.2">
      <c r="A333">
        <v>2</v>
      </c>
      <c r="B333" t="s">
        <v>478</v>
      </c>
      <c r="C333" t="s">
        <v>423</v>
      </c>
      <c r="D333" t="s">
        <v>5</v>
      </c>
      <c r="E333" t="s">
        <v>288</v>
      </c>
      <c r="F333" t="s">
        <v>5</v>
      </c>
      <c r="G333" t="s">
        <v>196</v>
      </c>
      <c r="H333" t="s">
        <v>442</v>
      </c>
      <c r="I333" t="s">
        <v>519</v>
      </c>
      <c r="J333" s="6">
        <v>22</v>
      </c>
      <c r="K333" s="6">
        <v>20.3</v>
      </c>
    </row>
    <row r="334" spans="1:11" x14ac:dyDescent="0.2">
      <c r="A334">
        <v>2</v>
      </c>
      <c r="B334" t="s">
        <v>478</v>
      </c>
      <c r="C334" t="s">
        <v>422</v>
      </c>
      <c r="D334" t="s">
        <v>9</v>
      </c>
      <c r="E334" t="s">
        <v>300</v>
      </c>
      <c r="F334" t="s">
        <v>9</v>
      </c>
      <c r="G334" t="s">
        <v>230</v>
      </c>
      <c r="H334" t="s">
        <v>442</v>
      </c>
      <c r="I334" t="s">
        <v>519</v>
      </c>
      <c r="J334" s="6">
        <v>11.24</v>
      </c>
      <c r="K334" s="6">
        <v>14.1</v>
      </c>
    </row>
    <row r="335" spans="1:11" x14ac:dyDescent="0.2">
      <c r="A335">
        <v>2</v>
      </c>
      <c r="B335" t="s">
        <v>478</v>
      </c>
      <c r="C335" t="s">
        <v>48</v>
      </c>
      <c r="D335" t="s">
        <v>6</v>
      </c>
      <c r="E335" t="s">
        <v>34</v>
      </c>
      <c r="F335" t="s">
        <v>6</v>
      </c>
      <c r="G335" t="s">
        <v>47</v>
      </c>
      <c r="H335" t="s">
        <v>442</v>
      </c>
      <c r="I335" t="s">
        <v>519</v>
      </c>
      <c r="J335" s="6">
        <v>12.98</v>
      </c>
      <c r="K335" s="6">
        <v>18.600000000000001</v>
      </c>
    </row>
    <row r="336" spans="1:11" x14ac:dyDescent="0.2">
      <c r="A336">
        <v>2</v>
      </c>
      <c r="B336" t="s">
        <v>478</v>
      </c>
      <c r="C336" t="s">
        <v>363</v>
      </c>
      <c r="D336" t="s">
        <v>6</v>
      </c>
      <c r="E336" t="s">
        <v>288</v>
      </c>
      <c r="F336" t="s">
        <v>6</v>
      </c>
      <c r="G336" t="s">
        <v>234</v>
      </c>
      <c r="H336" t="s">
        <v>442</v>
      </c>
      <c r="I336" t="s">
        <v>519</v>
      </c>
      <c r="J336" s="6">
        <v>10.38</v>
      </c>
      <c r="K336" s="6">
        <v>4.3</v>
      </c>
    </row>
    <row r="337" spans="1:11" x14ac:dyDescent="0.2">
      <c r="A337">
        <v>2</v>
      </c>
      <c r="B337" t="s">
        <v>478</v>
      </c>
      <c r="C337" t="s">
        <v>425</v>
      </c>
      <c r="D337" t="s">
        <v>5</v>
      </c>
      <c r="E337" t="s">
        <v>286</v>
      </c>
      <c r="F337" t="s">
        <v>5</v>
      </c>
      <c r="G337" t="s">
        <v>51</v>
      </c>
      <c r="H337" t="s">
        <v>442</v>
      </c>
      <c r="I337" t="s">
        <v>519</v>
      </c>
      <c r="J337" s="6">
        <v>13.11</v>
      </c>
      <c r="K337" s="6">
        <v>3.4</v>
      </c>
    </row>
    <row r="338" spans="1:11" x14ac:dyDescent="0.2">
      <c r="A338">
        <v>2</v>
      </c>
      <c r="B338" t="s">
        <v>478</v>
      </c>
      <c r="C338" t="s">
        <v>105</v>
      </c>
      <c r="D338" t="s">
        <v>5</v>
      </c>
      <c r="E338" t="s">
        <v>41</v>
      </c>
      <c r="F338" t="s">
        <v>16</v>
      </c>
      <c r="G338" t="s">
        <v>480</v>
      </c>
      <c r="H338" t="s">
        <v>442</v>
      </c>
      <c r="I338" t="s">
        <v>519</v>
      </c>
      <c r="J338" s="6">
        <v>8.44</v>
      </c>
      <c r="K338" s="6">
        <v>3</v>
      </c>
    </row>
    <row r="339" spans="1:11" x14ac:dyDescent="0.2">
      <c r="A339">
        <v>2</v>
      </c>
      <c r="B339" t="s">
        <v>478</v>
      </c>
      <c r="C339" t="s">
        <v>102</v>
      </c>
      <c r="D339" t="s">
        <v>5</v>
      </c>
      <c r="E339" t="s">
        <v>24</v>
      </c>
      <c r="F339" t="s">
        <v>11</v>
      </c>
      <c r="G339" t="s">
        <v>225</v>
      </c>
      <c r="H339" t="s">
        <v>442</v>
      </c>
      <c r="I339" t="s">
        <v>519</v>
      </c>
      <c r="J339" s="6">
        <v>10.46</v>
      </c>
      <c r="K339" s="6">
        <v>7.6</v>
      </c>
    </row>
    <row r="340" spans="1:11" x14ac:dyDescent="0.2">
      <c r="A340">
        <v>2</v>
      </c>
      <c r="B340" t="s">
        <v>478</v>
      </c>
      <c r="C340" t="s">
        <v>395</v>
      </c>
      <c r="D340" t="s">
        <v>6</v>
      </c>
      <c r="E340" t="s">
        <v>293</v>
      </c>
      <c r="F340" t="s">
        <v>11</v>
      </c>
      <c r="G340" t="s">
        <v>191</v>
      </c>
      <c r="H340" t="s">
        <v>442</v>
      </c>
      <c r="I340" t="s">
        <v>519</v>
      </c>
      <c r="J340" s="6">
        <v>8.77</v>
      </c>
      <c r="K340" s="6">
        <v>3.1</v>
      </c>
    </row>
    <row r="341" spans="1:11" x14ac:dyDescent="0.2">
      <c r="A341">
        <v>2</v>
      </c>
      <c r="B341" t="s">
        <v>478</v>
      </c>
      <c r="C341" t="s">
        <v>424</v>
      </c>
      <c r="D341" t="s">
        <v>4</v>
      </c>
      <c r="E341" t="s">
        <v>294</v>
      </c>
      <c r="F341" t="s">
        <v>4</v>
      </c>
      <c r="G341" t="s">
        <v>260</v>
      </c>
      <c r="H341" t="s">
        <v>442</v>
      </c>
      <c r="I341" t="s">
        <v>519</v>
      </c>
      <c r="J341" s="6">
        <v>18.55</v>
      </c>
      <c r="K341" s="6">
        <v>14.12</v>
      </c>
    </row>
    <row r="342" spans="1:11" x14ac:dyDescent="0.2">
      <c r="A342">
        <v>2</v>
      </c>
      <c r="B342" t="s">
        <v>478</v>
      </c>
      <c r="C342" t="s">
        <v>407</v>
      </c>
      <c r="D342" t="s">
        <v>9</v>
      </c>
      <c r="E342" t="s">
        <v>290</v>
      </c>
      <c r="F342" t="s">
        <v>16</v>
      </c>
      <c r="G342" t="s">
        <v>10</v>
      </c>
      <c r="H342" t="s">
        <v>442</v>
      </c>
      <c r="I342" t="s">
        <v>519</v>
      </c>
      <c r="J342" s="6">
        <v>8.5299999999999994</v>
      </c>
      <c r="K342" s="6">
        <v>7.9</v>
      </c>
    </row>
    <row r="343" spans="1:11" x14ac:dyDescent="0.2">
      <c r="A343">
        <v>2</v>
      </c>
      <c r="B343" t="s">
        <v>478</v>
      </c>
      <c r="C343" t="s">
        <v>355</v>
      </c>
      <c r="D343" t="s">
        <v>6</v>
      </c>
      <c r="E343" t="s">
        <v>291</v>
      </c>
      <c r="F343" t="s">
        <v>16</v>
      </c>
      <c r="G343" t="s">
        <v>252</v>
      </c>
      <c r="H343" t="s">
        <v>442</v>
      </c>
      <c r="I343" t="s">
        <v>519</v>
      </c>
      <c r="J343" s="6">
        <v>7.32</v>
      </c>
      <c r="K343" s="6">
        <v>10.7</v>
      </c>
    </row>
    <row r="344" spans="1:11" x14ac:dyDescent="0.2">
      <c r="A344">
        <v>2</v>
      </c>
      <c r="B344" t="s">
        <v>478</v>
      </c>
      <c r="C344" t="s">
        <v>152</v>
      </c>
      <c r="D344" t="s">
        <v>12</v>
      </c>
      <c r="E344" t="s">
        <v>62</v>
      </c>
      <c r="F344" t="s">
        <v>12</v>
      </c>
      <c r="G344" t="s">
        <v>151</v>
      </c>
      <c r="H344" t="s">
        <v>442</v>
      </c>
      <c r="I344" t="s">
        <v>519</v>
      </c>
      <c r="J344" s="6">
        <v>6.64</v>
      </c>
      <c r="K344" s="6">
        <v>20</v>
      </c>
    </row>
    <row r="345" spans="1:11" x14ac:dyDescent="0.2">
      <c r="A345">
        <v>2</v>
      </c>
      <c r="B345" t="s">
        <v>478</v>
      </c>
      <c r="C345" t="s">
        <v>451</v>
      </c>
      <c r="D345" t="s">
        <v>13</v>
      </c>
      <c r="E345" t="s">
        <v>52</v>
      </c>
      <c r="F345" t="s">
        <v>13</v>
      </c>
      <c r="G345" t="s">
        <v>452</v>
      </c>
      <c r="H345" t="s">
        <v>442</v>
      </c>
      <c r="I345" t="s">
        <v>519</v>
      </c>
      <c r="J345" s="6">
        <v>9.92</v>
      </c>
      <c r="K345" s="6">
        <v>5</v>
      </c>
    </row>
    <row r="346" spans="1:11" x14ac:dyDescent="0.2">
      <c r="A346">
        <v>2</v>
      </c>
      <c r="B346" t="s">
        <v>478</v>
      </c>
      <c r="C346" t="s">
        <v>443</v>
      </c>
      <c r="D346" t="s">
        <v>4</v>
      </c>
      <c r="E346" t="s">
        <v>291</v>
      </c>
      <c r="F346" t="s">
        <v>16</v>
      </c>
      <c r="G346" t="s">
        <v>154</v>
      </c>
      <c r="H346" t="s">
        <v>442</v>
      </c>
      <c r="I346" t="s">
        <v>519</v>
      </c>
      <c r="J346" s="6">
        <v>13.91</v>
      </c>
      <c r="K346" s="6">
        <v>11.4</v>
      </c>
    </row>
    <row r="347" spans="1:11" x14ac:dyDescent="0.2">
      <c r="A347">
        <v>2</v>
      </c>
      <c r="B347" t="s">
        <v>308</v>
      </c>
      <c r="C347" t="s">
        <v>363</v>
      </c>
      <c r="D347" t="s">
        <v>6</v>
      </c>
      <c r="E347" t="s">
        <v>288</v>
      </c>
      <c r="F347" t="s">
        <v>6</v>
      </c>
      <c r="G347" t="s">
        <v>77</v>
      </c>
      <c r="H347" t="s">
        <v>483</v>
      </c>
      <c r="I347" t="s">
        <v>520</v>
      </c>
      <c r="J347" s="6">
        <v>16.46</v>
      </c>
      <c r="K347" s="6">
        <v>30.7</v>
      </c>
    </row>
    <row r="348" spans="1:11" x14ac:dyDescent="0.2">
      <c r="A348">
        <v>2</v>
      </c>
      <c r="B348" t="s">
        <v>308</v>
      </c>
      <c r="C348" t="s">
        <v>79</v>
      </c>
      <c r="D348" t="s">
        <v>6</v>
      </c>
      <c r="E348" t="s">
        <v>62</v>
      </c>
      <c r="F348" t="s">
        <v>11</v>
      </c>
      <c r="G348" t="s">
        <v>29</v>
      </c>
      <c r="H348" t="s">
        <v>483</v>
      </c>
      <c r="I348" t="s">
        <v>520</v>
      </c>
      <c r="J348" s="6">
        <v>0</v>
      </c>
      <c r="K348" s="6">
        <v>0</v>
      </c>
    </row>
    <row r="349" spans="1:11" x14ac:dyDescent="0.2">
      <c r="A349">
        <v>2</v>
      </c>
      <c r="B349" t="s">
        <v>308</v>
      </c>
      <c r="C349" t="s">
        <v>420</v>
      </c>
      <c r="D349" t="s">
        <v>5</v>
      </c>
      <c r="E349" t="s">
        <v>360</v>
      </c>
      <c r="F349" t="s">
        <v>5</v>
      </c>
      <c r="G349" t="s">
        <v>327</v>
      </c>
      <c r="H349" t="s">
        <v>483</v>
      </c>
      <c r="I349" t="s">
        <v>520</v>
      </c>
      <c r="J349" s="6">
        <v>9.1</v>
      </c>
      <c r="K349" s="6">
        <v>13.2</v>
      </c>
    </row>
    <row r="350" spans="1:11" x14ac:dyDescent="0.2">
      <c r="A350">
        <v>2</v>
      </c>
      <c r="B350" t="s">
        <v>308</v>
      </c>
      <c r="C350" t="s">
        <v>351</v>
      </c>
      <c r="D350" t="s">
        <v>5</v>
      </c>
      <c r="E350" t="s">
        <v>292</v>
      </c>
      <c r="F350" t="s">
        <v>5</v>
      </c>
      <c r="G350" t="s">
        <v>496</v>
      </c>
      <c r="H350" t="s">
        <v>483</v>
      </c>
      <c r="I350" t="s">
        <v>520</v>
      </c>
      <c r="J350" s="6">
        <v>12.33</v>
      </c>
      <c r="K350" s="6">
        <v>4.5</v>
      </c>
    </row>
    <row r="351" spans="1:11" x14ac:dyDescent="0.2">
      <c r="A351">
        <v>2</v>
      </c>
      <c r="B351" t="s">
        <v>308</v>
      </c>
      <c r="C351" t="s">
        <v>359</v>
      </c>
      <c r="D351" t="s">
        <v>6</v>
      </c>
      <c r="E351" t="s">
        <v>360</v>
      </c>
      <c r="F351" t="s">
        <v>6</v>
      </c>
      <c r="G351" t="s">
        <v>342</v>
      </c>
      <c r="H351" t="s">
        <v>483</v>
      </c>
      <c r="I351" t="s">
        <v>520</v>
      </c>
      <c r="J351" s="6">
        <v>9.98</v>
      </c>
      <c r="K351" s="6">
        <v>13.3</v>
      </c>
    </row>
    <row r="352" spans="1:11" x14ac:dyDescent="0.2">
      <c r="A352">
        <v>2</v>
      </c>
      <c r="B352" t="s">
        <v>308</v>
      </c>
      <c r="C352" t="s">
        <v>393</v>
      </c>
      <c r="D352" t="s">
        <v>5</v>
      </c>
      <c r="E352" t="s">
        <v>289</v>
      </c>
      <c r="F352" t="s">
        <v>16</v>
      </c>
      <c r="G352" t="s">
        <v>226</v>
      </c>
      <c r="H352" t="s">
        <v>483</v>
      </c>
      <c r="I352" t="s">
        <v>520</v>
      </c>
      <c r="J352" s="6">
        <v>7.84</v>
      </c>
      <c r="K352" s="6">
        <v>1.6</v>
      </c>
    </row>
    <row r="353" spans="1:11" x14ac:dyDescent="0.2">
      <c r="A353">
        <v>2</v>
      </c>
      <c r="B353" t="s">
        <v>308</v>
      </c>
      <c r="C353" t="s">
        <v>102</v>
      </c>
      <c r="D353" t="s">
        <v>5</v>
      </c>
      <c r="E353" t="s">
        <v>24</v>
      </c>
      <c r="F353" t="s">
        <v>16</v>
      </c>
      <c r="G353" t="s">
        <v>43</v>
      </c>
      <c r="H353" t="s">
        <v>483</v>
      </c>
      <c r="I353" t="s">
        <v>520</v>
      </c>
      <c r="J353" s="6">
        <v>0</v>
      </c>
      <c r="K353" s="6">
        <v>0</v>
      </c>
    </row>
    <row r="354" spans="1:11" x14ac:dyDescent="0.2">
      <c r="A354">
        <v>2</v>
      </c>
      <c r="B354" t="s">
        <v>308</v>
      </c>
      <c r="C354" t="s">
        <v>101</v>
      </c>
      <c r="D354" t="s">
        <v>6</v>
      </c>
      <c r="E354" t="s">
        <v>24</v>
      </c>
      <c r="F354" t="s">
        <v>11</v>
      </c>
      <c r="G354" t="s">
        <v>312</v>
      </c>
      <c r="H354" t="s">
        <v>483</v>
      </c>
      <c r="I354" t="s">
        <v>520</v>
      </c>
      <c r="J354" s="6">
        <v>8.91</v>
      </c>
      <c r="K354" s="6">
        <v>7.8</v>
      </c>
    </row>
    <row r="355" spans="1:11" x14ac:dyDescent="0.2">
      <c r="A355">
        <v>2</v>
      </c>
      <c r="B355" t="s">
        <v>308</v>
      </c>
      <c r="C355" t="s">
        <v>304</v>
      </c>
      <c r="D355" t="s">
        <v>9</v>
      </c>
      <c r="E355" t="s">
        <v>46</v>
      </c>
      <c r="F355" t="s">
        <v>9</v>
      </c>
      <c r="G355" t="s">
        <v>162</v>
      </c>
      <c r="H355" t="s">
        <v>483</v>
      </c>
      <c r="I355" t="s">
        <v>520</v>
      </c>
      <c r="J355" s="6">
        <v>8.7799999999999994</v>
      </c>
      <c r="K355" s="6">
        <v>5.8</v>
      </c>
    </row>
    <row r="356" spans="1:11" x14ac:dyDescent="0.2">
      <c r="A356">
        <v>2</v>
      </c>
      <c r="B356" t="s">
        <v>308</v>
      </c>
      <c r="C356" t="s">
        <v>419</v>
      </c>
      <c r="D356" t="s">
        <v>9</v>
      </c>
      <c r="E356" t="s">
        <v>283</v>
      </c>
      <c r="F356" t="s">
        <v>11</v>
      </c>
      <c r="G356" t="s">
        <v>189</v>
      </c>
      <c r="H356" t="s">
        <v>483</v>
      </c>
      <c r="I356" t="s">
        <v>520</v>
      </c>
      <c r="J356" s="6">
        <v>8.42</v>
      </c>
      <c r="K356" s="6">
        <v>19</v>
      </c>
    </row>
    <row r="357" spans="1:11" x14ac:dyDescent="0.2">
      <c r="A357">
        <v>2</v>
      </c>
      <c r="B357" t="s">
        <v>308</v>
      </c>
      <c r="C357" t="s">
        <v>83</v>
      </c>
      <c r="D357" t="s">
        <v>4</v>
      </c>
      <c r="E357" t="s">
        <v>25</v>
      </c>
      <c r="F357" t="s">
        <v>4</v>
      </c>
      <c r="G357" t="s">
        <v>82</v>
      </c>
      <c r="H357" t="s">
        <v>483</v>
      </c>
      <c r="I357" t="s">
        <v>520</v>
      </c>
      <c r="J357" s="6">
        <v>18.22</v>
      </c>
      <c r="K357" s="6">
        <v>28.98</v>
      </c>
    </row>
    <row r="358" spans="1:11" x14ac:dyDescent="0.2">
      <c r="A358">
        <v>2</v>
      </c>
      <c r="B358" t="s">
        <v>308</v>
      </c>
      <c r="C358" t="s">
        <v>59</v>
      </c>
      <c r="D358" t="s">
        <v>4</v>
      </c>
      <c r="E358" t="s">
        <v>24</v>
      </c>
      <c r="F358" t="s">
        <v>16</v>
      </c>
      <c r="G358" t="s">
        <v>233</v>
      </c>
      <c r="H358" t="s">
        <v>483</v>
      </c>
      <c r="I358" t="s">
        <v>520</v>
      </c>
      <c r="J358" s="6">
        <v>15.93</v>
      </c>
      <c r="K358" s="6">
        <v>13.8</v>
      </c>
    </row>
    <row r="359" spans="1:11" x14ac:dyDescent="0.2">
      <c r="A359">
        <v>2</v>
      </c>
      <c r="B359" t="s">
        <v>308</v>
      </c>
      <c r="C359" t="s">
        <v>160</v>
      </c>
      <c r="D359" t="s">
        <v>12</v>
      </c>
      <c r="E359" t="s">
        <v>25</v>
      </c>
      <c r="F359" t="s">
        <v>12</v>
      </c>
      <c r="G359" t="s">
        <v>159</v>
      </c>
      <c r="H359" t="s">
        <v>483</v>
      </c>
      <c r="I359" t="s">
        <v>520</v>
      </c>
      <c r="J359" s="6">
        <v>7.21</v>
      </c>
      <c r="K359" s="6">
        <v>1</v>
      </c>
    </row>
    <row r="360" spans="1:11" x14ac:dyDescent="0.2">
      <c r="A360">
        <v>2</v>
      </c>
      <c r="B360" t="s">
        <v>308</v>
      </c>
      <c r="C360" t="s">
        <v>391</v>
      </c>
      <c r="D360" t="s">
        <v>13</v>
      </c>
      <c r="E360" t="s">
        <v>288</v>
      </c>
      <c r="F360" t="s">
        <v>13</v>
      </c>
      <c r="G360" t="s">
        <v>223</v>
      </c>
      <c r="H360" t="s">
        <v>483</v>
      </c>
      <c r="I360" t="s">
        <v>520</v>
      </c>
      <c r="J360" s="6">
        <v>8.5399999999999991</v>
      </c>
      <c r="K360" s="6">
        <v>7</v>
      </c>
    </row>
    <row r="361" spans="1:11" x14ac:dyDescent="0.2">
      <c r="A361">
        <v>2</v>
      </c>
      <c r="B361" t="s">
        <v>308</v>
      </c>
      <c r="C361" t="s">
        <v>390</v>
      </c>
      <c r="D361" t="s">
        <v>6</v>
      </c>
      <c r="E361" t="s">
        <v>358</v>
      </c>
      <c r="F361" t="s">
        <v>16</v>
      </c>
      <c r="G361" t="s">
        <v>521</v>
      </c>
      <c r="H361" t="s">
        <v>483</v>
      </c>
      <c r="I361" t="s">
        <v>520</v>
      </c>
      <c r="J361" s="6">
        <v>4.9400000000000004</v>
      </c>
      <c r="K361" s="6">
        <v>3.9</v>
      </c>
    </row>
    <row r="362" spans="1:11" x14ac:dyDescent="0.2">
      <c r="A362">
        <v>2</v>
      </c>
      <c r="B362" t="s">
        <v>483</v>
      </c>
      <c r="C362" t="s">
        <v>381</v>
      </c>
      <c r="D362" t="s">
        <v>5</v>
      </c>
      <c r="E362" t="s">
        <v>295</v>
      </c>
      <c r="F362" t="s">
        <v>5</v>
      </c>
      <c r="G362" t="s">
        <v>186</v>
      </c>
      <c r="H362" t="s">
        <v>427</v>
      </c>
      <c r="I362" t="s">
        <v>522</v>
      </c>
      <c r="J362" s="6">
        <v>20.37</v>
      </c>
      <c r="K362" s="6">
        <v>9.6</v>
      </c>
    </row>
    <row r="363" spans="1:11" x14ac:dyDescent="0.2">
      <c r="A363">
        <v>2</v>
      </c>
      <c r="B363" t="s">
        <v>483</v>
      </c>
      <c r="C363" t="s">
        <v>399</v>
      </c>
      <c r="D363" t="s">
        <v>5</v>
      </c>
      <c r="E363" t="s">
        <v>285</v>
      </c>
      <c r="F363" t="s">
        <v>5</v>
      </c>
      <c r="G363" t="s">
        <v>50</v>
      </c>
      <c r="H363" t="s">
        <v>427</v>
      </c>
      <c r="I363" t="s">
        <v>522</v>
      </c>
      <c r="J363" s="6">
        <v>15.57</v>
      </c>
      <c r="K363" s="6">
        <v>6.5</v>
      </c>
    </row>
    <row r="364" spans="1:11" x14ac:dyDescent="0.2">
      <c r="A364">
        <v>2</v>
      </c>
      <c r="B364" t="s">
        <v>483</v>
      </c>
      <c r="C364" t="s">
        <v>70</v>
      </c>
      <c r="D364" t="s">
        <v>6</v>
      </c>
      <c r="E364" t="s">
        <v>41</v>
      </c>
      <c r="F364" t="s">
        <v>6</v>
      </c>
      <c r="G364" t="s">
        <v>314</v>
      </c>
      <c r="H364" t="s">
        <v>427</v>
      </c>
      <c r="I364" t="s">
        <v>522</v>
      </c>
      <c r="J364" s="6">
        <v>11.75</v>
      </c>
      <c r="K364" s="6">
        <v>8.8000000000000007</v>
      </c>
    </row>
    <row r="365" spans="1:11" x14ac:dyDescent="0.2">
      <c r="A365">
        <v>2</v>
      </c>
      <c r="B365" t="s">
        <v>483</v>
      </c>
      <c r="C365" t="s">
        <v>398</v>
      </c>
      <c r="D365" t="s">
        <v>6</v>
      </c>
      <c r="E365" t="s">
        <v>283</v>
      </c>
      <c r="F365" t="s">
        <v>6</v>
      </c>
      <c r="G365" t="s">
        <v>27</v>
      </c>
      <c r="H365" t="s">
        <v>427</v>
      </c>
      <c r="I365" t="s">
        <v>522</v>
      </c>
      <c r="J365" s="6">
        <v>10.49</v>
      </c>
      <c r="K365" s="6">
        <v>-0.1</v>
      </c>
    </row>
    <row r="366" spans="1:11" x14ac:dyDescent="0.2">
      <c r="A366">
        <v>2</v>
      </c>
      <c r="B366" t="s">
        <v>483</v>
      </c>
      <c r="C366" t="s">
        <v>23</v>
      </c>
      <c r="D366" t="s">
        <v>4</v>
      </c>
      <c r="E366" t="s">
        <v>123</v>
      </c>
      <c r="F366" t="s">
        <v>4</v>
      </c>
      <c r="G366" t="s">
        <v>22</v>
      </c>
      <c r="H366" t="s">
        <v>427</v>
      </c>
      <c r="I366" t="s">
        <v>522</v>
      </c>
      <c r="J366" s="6">
        <v>18.21</v>
      </c>
      <c r="K366" s="6">
        <v>26.98</v>
      </c>
    </row>
    <row r="367" spans="1:11" x14ac:dyDescent="0.2">
      <c r="A367">
        <v>2</v>
      </c>
      <c r="B367" t="s">
        <v>483</v>
      </c>
      <c r="C367" t="s">
        <v>432</v>
      </c>
      <c r="D367" t="s">
        <v>9</v>
      </c>
      <c r="E367" t="s">
        <v>288</v>
      </c>
      <c r="F367" t="s">
        <v>9</v>
      </c>
      <c r="G367" t="s">
        <v>204</v>
      </c>
      <c r="H367" t="s">
        <v>427</v>
      </c>
      <c r="I367" t="s">
        <v>522</v>
      </c>
      <c r="J367" s="6">
        <v>8.9499999999999993</v>
      </c>
      <c r="K367" s="6">
        <v>14.2</v>
      </c>
    </row>
    <row r="368" spans="1:11" x14ac:dyDescent="0.2">
      <c r="A368">
        <v>2</v>
      </c>
      <c r="B368" t="s">
        <v>483</v>
      </c>
      <c r="C368" t="s">
        <v>359</v>
      </c>
      <c r="D368" t="s">
        <v>6</v>
      </c>
      <c r="E368" t="s">
        <v>360</v>
      </c>
      <c r="F368" t="s">
        <v>11</v>
      </c>
      <c r="G368" t="s">
        <v>78</v>
      </c>
      <c r="H368" t="s">
        <v>427</v>
      </c>
      <c r="I368" t="s">
        <v>522</v>
      </c>
      <c r="J368" s="6">
        <v>7.86</v>
      </c>
      <c r="K368" s="6">
        <v>3.3</v>
      </c>
    </row>
    <row r="369" spans="1:11" x14ac:dyDescent="0.2">
      <c r="A369">
        <v>2</v>
      </c>
      <c r="B369" t="s">
        <v>483</v>
      </c>
      <c r="C369" t="s">
        <v>351</v>
      </c>
      <c r="D369" t="s">
        <v>5</v>
      </c>
      <c r="E369" t="s">
        <v>292</v>
      </c>
      <c r="F369" t="s">
        <v>16</v>
      </c>
      <c r="G369" t="s">
        <v>188</v>
      </c>
      <c r="H369" t="s">
        <v>427</v>
      </c>
      <c r="I369" t="s">
        <v>522</v>
      </c>
      <c r="J369" s="6">
        <v>0</v>
      </c>
      <c r="K369" s="6">
        <v>0</v>
      </c>
    </row>
    <row r="370" spans="1:11" x14ac:dyDescent="0.2">
      <c r="A370">
        <v>2</v>
      </c>
      <c r="B370" t="s">
        <v>483</v>
      </c>
      <c r="C370" t="s">
        <v>132</v>
      </c>
      <c r="D370" t="s">
        <v>12</v>
      </c>
      <c r="E370" t="s">
        <v>123</v>
      </c>
      <c r="F370" t="s">
        <v>12</v>
      </c>
      <c r="G370" t="s">
        <v>368</v>
      </c>
      <c r="H370" t="s">
        <v>427</v>
      </c>
      <c r="I370" t="s">
        <v>522</v>
      </c>
      <c r="J370" s="6">
        <v>5.74</v>
      </c>
      <c r="K370" s="6">
        <v>11</v>
      </c>
    </row>
    <row r="371" spans="1:11" x14ac:dyDescent="0.2">
      <c r="A371">
        <v>2</v>
      </c>
      <c r="B371" t="s">
        <v>483</v>
      </c>
      <c r="C371" t="s">
        <v>441</v>
      </c>
      <c r="D371" t="s">
        <v>13</v>
      </c>
      <c r="E371" t="s">
        <v>293</v>
      </c>
      <c r="F371" t="s">
        <v>13</v>
      </c>
      <c r="G371" t="s">
        <v>249</v>
      </c>
      <c r="H371" t="s">
        <v>427</v>
      </c>
      <c r="I371" t="s">
        <v>522</v>
      </c>
      <c r="J371" s="6">
        <v>8.5399999999999991</v>
      </c>
      <c r="K371" s="6">
        <v>10</v>
      </c>
    </row>
    <row r="372" spans="1:11" x14ac:dyDescent="0.2">
      <c r="A372">
        <v>2</v>
      </c>
      <c r="B372" t="s">
        <v>483</v>
      </c>
      <c r="C372" t="s">
        <v>111</v>
      </c>
      <c r="D372" t="s">
        <v>9</v>
      </c>
      <c r="E372" t="s">
        <v>62</v>
      </c>
      <c r="F372" t="s">
        <v>11</v>
      </c>
      <c r="G372" t="s">
        <v>110</v>
      </c>
      <c r="H372" t="s">
        <v>427</v>
      </c>
      <c r="I372" t="s">
        <v>522</v>
      </c>
      <c r="J372" s="6">
        <v>7.58</v>
      </c>
      <c r="K372" s="6">
        <v>5.5</v>
      </c>
    </row>
    <row r="373" spans="1:11" x14ac:dyDescent="0.2">
      <c r="A373">
        <v>2</v>
      </c>
      <c r="B373" t="s">
        <v>483</v>
      </c>
      <c r="C373" t="s">
        <v>448</v>
      </c>
      <c r="D373" t="s">
        <v>4</v>
      </c>
      <c r="E373" t="s">
        <v>292</v>
      </c>
      <c r="F373" t="s">
        <v>16</v>
      </c>
      <c r="G373" t="s">
        <v>239</v>
      </c>
      <c r="H373" t="s">
        <v>427</v>
      </c>
      <c r="I373" t="s">
        <v>522</v>
      </c>
      <c r="J373" s="6">
        <v>0</v>
      </c>
      <c r="K373" s="6">
        <v>0</v>
      </c>
    </row>
    <row r="374" spans="1:11" x14ac:dyDescent="0.2">
      <c r="A374">
        <v>2</v>
      </c>
      <c r="B374" t="s">
        <v>483</v>
      </c>
      <c r="C374" t="s">
        <v>395</v>
      </c>
      <c r="D374" t="s">
        <v>6</v>
      </c>
      <c r="E374" t="s">
        <v>293</v>
      </c>
      <c r="F374" t="s">
        <v>16</v>
      </c>
      <c r="G374" t="s">
        <v>245</v>
      </c>
      <c r="H374" t="s">
        <v>427</v>
      </c>
      <c r="I374" t="s">
        <v>522</v>
      </c>
      <c r="J374" s="6">
        <v>0</v>
      </c>
      <c r="K374" s="6">
        <v>0</v>
      </c>
    </row>
    <row r="375" spans="1:11" x14ac:dyDescent="0.2">
      <c r="A375">
        <v>2</v>
      </c>
      <c r="B375" t="s">
        <v>483</v>
      </c>
      <c r="C375" t="s">
        <v>486</v>
      </c>
      <c r="D375" t="s">
        <v>9</v>
      </c>
      <c r="E375" t="s">
        <v>289</v>
      </c>
      <c r="F375" t="s">
        <v>16</v>
      </c>
      <c r="G375" t="s">
        <v>302</v>
      </c>
      <c r="H375" t="s">
        <v>427</v>
      </c>
      <c r="I375" t="s">
        <v>522</v>
      </c>
      <c r="J375" s="6">
        <v>4.92</v>
      </c>
      <c r="K375" s="6">
        <v>16.8</v>
      </c>
    </row>
    <row r="376" spans="1:11" x14ac:dyDescent="0.2">
      <c r="A376">
        <v>2</v>
      </c>
      <c r="B376" t="s">
        <v>499</v>
      </c>
      <c r="C376" t="s">
        <v>395</v>
      </c>
      <c r="D376" t="s">
        <v>6</v>
      </c>
      <c r="E376" t="s">
        <v>293</v>
      </c>
      <c r="F376" t="s">
        <v>6</v>
      </c>
      <c r="G376" t="s">
        <v>38</v>
      </c>
      <c r="H376" t="s">
        <v>256</v>
      </c>
      <c r="I376" t="s">
        <v>523</v>
      </c>
      <c r="J376" s="6">
        <v>15.04</v>
      </c>
      <c r="K376" s="6">
        <v>7</v>
      </c>
    </row>
    <row r="377" spans="1:11" x14ac:dyDescent="0.2">
      <c r="A377">
        <v>2</v>
      </c>
      <c r="B377" t="s">
        <v>499</v>
      </c>
      <c r="C377" t="s">
        <v>367</v>
      </c>
      <c r="D377" t="s">
        <v>6</v>
      </c>
      <c r="E377" t="s">
        <v>286</v>
      </c>
      <c r="F377" t="s">
        <v>11</v>
      </c>
      <c r="G377" t="s">
        <v>216</v>
      </c>
      <c r="H377" t="s">
        <v>256</v>
      </c>
      <c r="I377" t="s">
        <v>523</v>
      </c>
      <c r="J377" s="6">
        <v>0</v>
      </c>
      <c r="K377" s="6">
        <v>0</v>
      </c>
    </row>
    <row r="378" spans="1:11" x14ac:dyDescent="0.2">
      <c r="A378">
        <v>2</v>
      </c>
      <c r="B378" t="s">
        <v>499</v>
      </c>
      <c r="C378" t="s">
        <v>374</v>
      </c>
      <c r="D378" t="s">
        <v>5</v>
      </c>
      <c r="E378" t="s">
        <v>301</v>
      </c>
      <c r="F378" t="s">
        <v>5</v>
      </c>
      <c r="G378" t="s">
        <v>326</v>
      </c>
      <c r="H378" t="s">
        <v>256</v>
      </c>
      <c r="I378" t="s">
        <v>523</v>
      </c>
      <c r="J378" s="6">
        <v>10.92</v>
      </c>
      <c r="K378" s="6">
        <v>7.3</v>
      </c>
    </row>
    <row r="379" spans="1:11" x14ac:dyDescent="0.2">
      <c r="A379">
        <v>2</v>
      </c>
      <c r="B379" t="s">
        <v>499</v>
      </c>
      <c r="C379" t="s">
        <v>105</v>
      </c>
      <c r="D379" t="s">
        <v>5</v>
      </c>
      <c r="E379" t="s">
        <v>41</v>
      </c>
      <c r="F379" t="s">
        <v>5</v>
      </c>
      <c r="G379" t="s">
        <v>221</v>
      </c>
      <c r="H379" t="s">
        <v>256</v>
      </c>
      <c r="I379" t="s">
        <v>523</v>
      </c>
      <c r="J379" s="6">
        <v>13.17</v>
      </c>
      <c r="K379" s="6">
        <v>11</v>
      </c>
    </row>
    <row r="380" spans="1:11" x14ac:dyDescent="0.2">
      <c r="A380">
        <v>2</v>
      </c>
      <c r="B380" t="s">
        <v>499</v>
      </c>
      <c r="C380" t="s">
        <v>366</v>
      </c>
      <c r="D380" t="s">
        <v>4</v>
      </c>
      <c r="E380" t="s">
        <v>296</v>
      </c>
      <c r="F380" t="s">
        <v>4</v>
      </c>
      <c r="G380" t="s">
        <v>197</v>
      </c>
      <c r="H380" t="s">
        <v>256</v>
      </c>
      <c r="I380" t="s">
        <v>523</v>
      </c>
      <c r="J380" s="6">
        <v>19.420000000000002</v>
      </c>
      <c r="K380" s="6">
        <v>7.72</v>
      </c>
    </row>
    <row r="381" spans="1:11" x14ac:dyDescent="0.2">
      <c r="A381">
        <v>2</v>
      </c>
      <c r="B381" t="s">
        <v>499</v>
      </c>
      <c r="C381" t="s">
        <v>99</v>
      </c>
      <c r="D381" t="s">
        <v>9</v>
      </c>
      <c r="E381" t="s">
        <v>52</v>
      </c>
      <c r="F381" t="s">
        <v>11</v>
      </c>
      <c r="G381" t="s">
        <v>98</v>
      </c>
      <c r="H381" t="s">
        <v>256</v>
      </c>
      <c r="I381" t="s">
        <v>523</v>
      </c>
      <c r="J381" s="6">
        <v>8.7200000000000006</v>
      </c>
      <c r="K381" s="6">
        <v>16</v>
      </c>
    </row>
    <row r="382" spans="1:11" x14ac:dyDescent="0.2">
      <c r="A382">
        <v>2</v>
      </c>
      <c r="B382" t="s">
        <v>499</v>
      </c>
      <c r="C382" t="s">
        <v>437</v>
      </c>
      <c r="D382" t="s">
        <v>13</v>
      </c>
      <c r="E382" t="s">
        <v>285</v>
      </c>
      <c r="F382" t="s">
        <v>13</v>
      </c>
      <c r="G382" t="s">
        <v>228</v>
      </c>
      <c r="H382" t="s">
        <v>256</v>
      </c>
      <c r="I382" t="s">
        <v>523</v>
      </c>
      <c r="J382" s="6">
        <v>10.6</v>
      </c>
      <c r="K382" s="6">
        <v>17</v>
      </c>
    </row>
    <row r="383" spans="1:11" x14ac:dyDescent="0.2">
      <c r="A383">
        <v>2</v>
      </c>
      <c r="B383" t="s">
        <v>499</v>
      </c>
      <c r="C383" t="s">
        <v>383</v>
      </c>
      <c r="D383" t="s">
        <v>6</v>
      </c>
      <c r="E383" t="s">
        <v>300</v>
      </c>
      <c r="F383" t="s">
        <v>16</v>
      </c>
      <c r="G383" t="s">
        <v>211</v>
      </c>
      <c r="H383" t="s">
        <v>256</v>
      </c>
      <c r="I383" t="s">
        <v>523</v>
      </c>
      <c r="J383" s="6">
        <v>7.88</v>
      </c>
      <c r="K383" s="6">
        <v>2.8</v>
      </c>
    </row>
    <row r="384" spans="1:11" x14ac:dyDescent="0.2">
      <c r="A384">
        <v>2</v>
      </c>
      <c r="B384" t="s">
        <v>499</v>
      </c>
      <c r="C384" t="s">
        <v>392</v>
      </c>
      <c r="D384" t="s">
        <v>12</v>
      </c>
      <c r="E384" t="s">
        <v>292</v>
      </c>
      <c r="F384" t="s">
        <v>12</v>
      </c>
      <c r="G384" t="s">
        <v>169</v>
      </c>
      <c r="H384" t="s">
        <v>256</v>
      </c>
      <c r="I384" t="s">
        <v>523</v>
      </c>
      <c r="J384" s="6">
        <v>7.61</v>
      </c>
      <c r="K384" s="6">
        <v>10</v>
      </c>
    </row>
    <row r="385" spans="1:11" x14ac:dyDescent="0.2">
      <c r="A385">
        <v>2</v>
      </c>
      <c r="B385" t="s">
        <v>499</v>
      </c>
      <c r="C385" t="s">
        <v>37</v>
      </c>
      <c r="D385" t="s">
        <v>5</v>
      </c>
      <c r="E385" t="s">
        <v>34</v>
      </c>
      <c r="F385" t="s">
        <v>16</v>
      </c>
      <c r="G385" t="s">
        <v>36</v>
      </c>
      <c r="H385" t="s">
        <v>256</v>
      </c>
      <c r="I385" t="s">
        <v>523</v>
      </c>
      <c r="J385" s="6">
        <v>5.62</v>
      </c>
      <c r="K385" s="6">
        <v>4.7</v>
      </c>
    </row>
    <row r="386" spans="1:11" x14ac:dyDescent="0.2">
      <c r="A386">
        <v>2</v>
      </c>
      <c r="B386" t="s">
        <v>499</v>
      </c>
      <c r="C386" t="s">
        <v>146</v>
      </c>
      <c r="D386" t="s">
        <v>9</v>
      </c>
      <c r="E386" t="s">
        <v>34</v>
      </c>
      <c r="F386" t="s">
        <v>9</v>
      </c>
      <c r="G386" t="s">
        <v>156</v>
      </c>
      <c r="H386" t="s">
        <v>256</v>
      </c>
      <c r="I386" t="s">
        <v>523</v>
      </c>
      <c r="J386" s="6">
        <v>6.95</v>
      </c>
      <c r="K386" s="6">
        <v>8.6</v>
      </c>
    </row>
    <row r="387" spans="1:11" x14ac:dyDescent="0.2">
      <c r="A387">
        <v>2</v>
      </c>
      <c r="B387" t="s">
        <v>499</v>
      </c>
      <c r="C387" t="s">
        <v>73</v>
      </c>
      <c r="D387" t="s">
        <v>4</v>
      </c>
      <c r="E387" t="s">
        <v>41</v>
      </c>
      <c r="F387" t="s">
        <v>16</v>
      </c>
      <c r="G387" t="s">
        <v>240</v>
      </c>
      <c r="H387" t="s">
        <v>256</v>
      </c>
      <c r="I387" t="s">
        <v>523</v>
      </c>
      <c r="J387" s="6">
        <v>16.8</v>
      </c>
      <c r="K387" s="6">
        <v>12.18</v>
      </c>
    </row>
    <row r="388" spans="1:11" x14ac:dyDescent="0.2">
      <c r="A388">
        <v>2</v>
      </c>
      <c r="B388" t="s">
        <v>499</v>
      </c>
      <c r="C388" t="s">
        <v>381</v>
      </c>
      <c r="D388" t="s">
        <v>5</v>
      </c>
      <c r="E388" t="s">
        <v>295</v>
      </c>
      <c r="F388" t="s">
        <v>16</v>
      </c>
      <c r="G388" t="s">
        <v>145</v>
      </c>
      <c r="H388" t="s">
        <v>256</v>
      </c>
      <c r="I388" t="s">
        <v>523</v>
      </c>
      <c r="J388" s="6">
        <v>5.9</v>
      </c>
      <c r="K388" s="6">
        <v>7.7</v>
      </c>
    </row>
    <row r="389" spans="1:11" x14ac:dyDescent="0.2">
      <c r="A389">
        <v>2</v>
      </c>
      <c r="B389" t="s">
        <v>499</v>
      </c>
      <c r="C389" t="s">
        <v>367</v>
      </c>
      <c r="D389" t="s">
        <v>6</v>
      </c>
      <c r="E389" t="s">
        <v>286</v>
      </c>
      <c r="F389" t="s">
        <v>11</v>
      </c>
      <c r="G389" t="s">
        <v>334</v>
      </c>
      <c r="H389" t="s">
        <v>256</v>
      </c>
      <c r="I389" t="s">
        <v>523</v>
      </c>
      <c r="J389" s="6">
        <v>8.16</v>
      </c>
      <c r="K389" s="6">
        <v>5.2</v>
      </c>
    </row>
    <row r="390" spans="1:11" x14ac:dyDescent="0.2">
      <c r="A390">
        <v>2</v>
      </c>
      <c r="B390" t="s">
        <v>499</v>
      </c>
      <c r="C390" t="s">
        <v>79</v>
      </c>
      <c r="D390" t="s">
        <v>6</v>
      </c>
      <c r="E390" t="s">
        <v>62</v>
      </c>
      <c r="F390" t="s">
        <v>6</v>
      </c>
      <c r="G390" t="s">
        <v>458</v>
      </c>
      <c r="H390" t="s">
        <v>256</v>
      </c>
      <c r="I390" t="s">
        <v>523</v>
      </c>
      <c r="J390" s="6">
        <v>7.27</v>
      </c>
      <c r="K390" s="6">
        <v>2.8</v>
      </c>
    </row>
    <row r="391" spans="1:11" x14ac:dyDescent="0.2">
      <c r="A391">
        <v>2</v>
      </c>
      <c r="B391" t="s">
        <v>256</v>
      </c>
      <c r="C391" t="s">
        <v>104</v>
      </c>
      <c r="D391" t="s">
        <v>5</v>
      </c>
      <c r="E391" t="s">
        <v>125</v>
      </c>
      <c r="F391" t="s">
        <v>5</v>
      </c>
      <c r="G391" t="s">
        <v>316</v>
      </c>
      <c r="H391" t="s">
        <v>501</v>
      </c>
      <c r="I391" t="s">
        <v>524</v>
      </c>
      <c r="J391" s="6">
        <v>14.63</v>
      </c>
      <c r="K391" s="6">
        <v>16.5</v>
      </c>
    </row>
    <row r="392" spans="1:11" x14ac:dyDescent="0.2">
      <c r="A392">
        <v>2</v>
      </c>
      <c r="B392" t="s">
        <v>256</v>
      </c>
      <c r="C392" t="s">
        <v>375</v>
      </c>
      <c r="D392" t="s">
        <v>5</v>
      </c>
      <c r="E392" t="s">
        <v>298</v>
      </c>
      <c r="F392" t="s">
        <v>5</v>
      </c>
      <c r="G392" t="s">
        <v>208</v>
      </c>
      <c r="H392" t="s">
        <v>501</v>
      </c>
      <c r="I392" t="s">
        <v>524</v>
      </c>
      <c r="J392" s="6">
        <v>13.48</v>
      </c>
      <c r="K392" s="6">
        <v>9.6999999999999993</v>
      </c>
    </row>
    <row r="393" spans="1:11" x14ac:dyDescent="0.2">
      <c r="A393">
        <v>2</v>
      </c>
      <c r="B393" t="s">
        <v>256</v>
      </c>
      <c r="C393" t="s">
        <v>7</v>
      </c>
      <c r="D393" t="s">
        <v>6</v>
      </c>
      <c r="E393" t="s">
        <v>123</v>
      </c>
      <c r="F393" t="s">
        <v>6</v>
      </c>
      <c r="G393" t="s">
        <v>94</v>
      </c>
      <c r="H393" t="s">
        <v>501</v>
      </c>
      <c r="I393" t="s">
        <v>524</v>
      </c>
      <c r="J393" s="6">
        <v>13.14</v>
      </c>
      <c r="K393" s="6">
        <v>35.5</v>
      </c>
    </row>
    <row r="394" spans="1:11" x14ac:dyDescent="0.2">
      <c r="A394">
        <v>2</v>
      </c>
      <c r="B394" t="s">
        <v>256</v>
      </c>
      <c r="C394" t="s">
        <v>81</v>
      </c>
      <c r="D394" t="s">
        <v>4</v>
      </c>
      <c r="E394" t="s">
        <v>62</v>
      </c>
      <c r="F394" t="s">
        <v>4</v>
      </c>
      <c r="G394" t="s">
        <v>258</v>
      </c>
      <c r="H394" t="s">
        <v>501</v>
      </c>
      <c r="I394" t="s">
        <v>524</v>
      </c>
      <c r="J394" s="6">
        <v>18.23</v>
      </c>
      <c r="K394" s="6">
        <v>8.02</v>
      </c>
    </row>
    <row r="395" spans="1:11" x14ac:dyDescent="0.2">
      <c r="A395">
        <v>2</v>
      </c>
      <c r="B395" t="s">
        <v>256</v>
      </c>
      <c r="C395" t="s">
        <v>370</v>
      </c>
      <c r="D395" t="s">
        <v>6</v>
      </c>
      <c r="E395" t="s">
        <v>294</v>
      </c>
      <c r="F395" t="s">
        <v>6</v>
      </c>
      <c r="G395" t="s">
        <v>95</v>
      </c>
      <c r="H395" t="s">
        <v>501</v>
      </c>
      <c r="I395" t="s">
        <v>524</v>
      </c>
      <c r="J395" s="6">
        <v>9.99</v>
      </c>
      <c r="K395" s="6">
        <v>4</v>
      </c>
    </row>
    <row r="396" spans="1:11" x14ac:dyDescent="0.2">
      <c r="A396">
        <v>2</v>
      </c>
      <c r="B396" t="s">
        <v>256</v>
      </c>
      <c r="C396" t="s">
        <v>101</v>
      </c>
      <c r="D396" t="s">
        <v>6</v>
      </c>
      <c r="E396" t="s">
        <v>24</v>
      </c>
      <c r="F396" t="s">
        <v>11</v>
      </c>
      <c r="G396" t="s">
        <v>166</v>
      </c>
      <c r="H396" t="s">
        <v>501</v>
      </c>
      <c r="I396" t="s">
        <v>524</v>
      </c>
      <c r="J396" s="6">
        <v>10.69</v>
      </c>
      <c r="K396" s="6">
        <v>12.1</v>
      </c>
    </row>
    <row r="397" spans="1:11" x14ac:dyDescent="0.2">
      <c r="A397">
        <v>2</v>
      </c>
      <c r="B397" t="s">
        <v>256</v>
      </c>
      <c r="C397" t="s">
        <v>385</v>
      </c>
      <c r="D397" t="s">
        <v>9</v>
      </c>
      <c r="E397" t="s">
        <v>284</v>
      </c>
      <c r="F397" t="s">
        <v>9</v>
      </c>
      <c r="G397" t="s">
        <v>57</v>
      </c>
      <c r="H397" t="s">
        <v>501</v>
      </c>
      <c r="I397" t="s">
        <v>524</v>
      </c>
      <c r="J397" s="6">
        <v>8.64</v>
      </c>
      <c r="K397" s="6">
        <v>0.9</v>
      </c>
    </row>
    <row r="398" spans="1:11" x14ac:dyDescent="0.2">
      <c r="A398">
        <v>2</v>
      </c>
      <c r="B398" t="s">
        <v>256</v>
      </c>
      <c r="C398" t="s">
        <v>390</v>
      </c>
      <c r="D398" t="s">
        <v>6</v>
      </c>
      <c r="E398" t="s">
        <v>358</v>
      </c>
      <c r="F398" t="s">
        <v>11</v>
      </c>
      <c r="G398" t="s">
        <v>26</v>
      </c>
      <c r="H398" t="s">
        <v>501</v>
      </c>
      <c r="I398" t="s">
        <v>524</v>
      </c>
      <c r="J398" s="6">
        <v>8.08</v>
      </c>
      <c r="K398" s="6">
        <v>19.2</v>
      </c>
    </row>
    <row r="399" spans="1:11" x14ac:dyDescent="0.2">
      <c r="A399">
        <v>2</v>
      </c>
      <c r="B399" t="s">
        <v>256</v>
      </c>
      <c r="C399" t="s">
        <v>411</v>
      </c>
      <c r="D399" t="s">
        <v>13</v>
      </c>
      <c r="E399" t="s">
        <v>286</v>
      </c>
      <c r="F399" t="s">
        <v>13</v>
      </c>
      <c r="G399" t="s">
        <v>232</v>
      </c>
      <c r="H399" t="s">
        <v>501</v>
      </c>
      <c r="I399" t="s">
        <v>524</v>
      </c>
      <c r="J399" s="6">
        <v>9.84</v>
      </c>
      <c r="K399" s="6">
        <v>6</v>
      </c>
    </row>
    <row r="400" spans="1:11" x14ac:dyDescent="0.2">
      <c r="A400">
        <v>2</v>
      </c>
      <c r="B400" t="s">
        <v>256</v>
      </c>
      <c r="C400" t="s">
        <v>72</v>
      </c>
      <c r="D400" t="s">
        <v>6</v>
      </c>
      <c r="E400" t="s">
        <v>25</v>
      </c>
      <c r="F400" t="s">
        <v>16</v>
      </c>
      <c r="G400" t="s">
        <v>209</v>
      </c>
      <c r="H400" t="s">
        <v>501</v>
      </c>
      <c r="I400" t="s">
        <v>524</v>
      </c>
      <c r="J400" s="6">
        <v>9.34</v>
      </c>
      <c r="K400" s="6">
        <v>11</v>
      </c>
    </row>
    <row r="401" spans="1:11" x14ac:dyDescent="0.2">
      <c r="A401">
        <v>2</v>
      </c>
      <c r="B401" t="s">
        <v>256</v>
      </c>
      <c r="C401" t="s">
        <v>417</v>
      </c>
      <c r="D401" t="s">
        <v>6</v>
      </c>
      <c r="E401" t="s">
        <v>301</v>
      </c>
      <c r="F401" t="s">
        <v>16</v>
      </c>
      <c r="G401" t="s">
        <v>107</v>
      </c>
      <c r="H401" t="s">
        <v>501</v>
      </c>
      <c r="I401" t="s">
        <v>524</v>
      </c>
      <c r="J401" s="6">
        <v>5.66</v>
      </c>
      <c r="K401" s="6">
        <v>0</v>
      </c>
    </row>
    <row r="402" spans="1:11" x14ac:dyDescent="0.2">
      <c r="A402">
        <v>2</v>
      </c>
      <c r="B402" t="s">
        <v>256</v>
      </c>
      <c r="C402" t="s">
        <v>357</v>
      </c>
      <c r="D402" t="s">
        <v>12</v>
      </c>
      <c r="E402" t="s">
        <v>290</v>
      </c>
      <c r="F402" t="s">
        <v>12</v>
      </c>
      <c r="G402" t="s">
        <v>69</v>
      </c>
      <c r="H402" t="s">
        <v>501</v>
      </c>
      <c r="I402" t="s">
        <v>524</v>
      </c>
      <c r="J402" s="6">
        <v>6.85</v>
      </c>
      <c r="K402" s="6">
        <v>5</v>
      </c>
    </row>
    <row r="403" spans="1:11" x14ac:dyDescent="0.2">
      <c r="A403">
        <v>2</v>
      </c>
      <c r="B403" t="s">
        <v>256</v>
      </c>
      <c r="C403" t="s">
        <v>86</v>
      </c>
      <c r="D403" t="s">
        <v>6</v>
      </c>
      <c r="E403" t="s">
        <v>55</v>
      </c>
      <c r="F403" t="s">
        <v>16</v>
      </c>
      <c r="G403" t="s">
        <v>244</v>
      </c>
      <c r="H403" t="s">
        <v>501</v>
      </c>
      <c r="I403" t="s">
        <v>524</v>
      </c>
      <c r="J403" s="6">
        <v>7</v>
      </c>
      <c r="K403" s="6">
        <v>1.4</v>
      </c>
    </row>
    <row r="404" spans="1:11" x14ac:dyDescent="0.2">
      <c r="A404">
        <v>2</v>
      </c>
      <c r="B404" t="s">
        <v>256</v>
      </c>
      <c r="C404" t="s">
        <v>350</v>
      </c>
      <c r="D404" t="s">
        <v>5</v>
      </c>
      <c r="E404" t="s">
        <v>300</v>
      </c>
      <c r="F404" t="s">
        <v>16</v>
      </c>
      <c r="G404" t="s">
        <v>142</v>
      </c>
      <c r="H404" t="s">
        <v>501</v>
      </c>
      <c r="I404" t="s">
        <v>524</v>
      </c>
      <c r="J404" s="6">
        <v>6.46</v>
      </c>
      <c r="K404" s="6">
        <v>2.9</v>
      </c>
    </row>
    <row r="405" spans="1:11" x14ac:dyDescent="0.2">
      <c r="A405">
        <v>3</v>
      </c>
      <c r="B405" t="s">
        <v>484</v>
      </c>
      <c r="C405" t="s">
        <v>7</v>
      </c>
      <c r="D405" t="s">
        <v>6</v>
      </c>
      <c r="E405" t="s">
        <v>123</v>
      </c>
      <c r="F405" t="s">
        <v>16</v>
      </c>
      <c r="G405" t="s">
        <v>203</v>
      </c>
      <c r="H405" t="s">
        <v>343</v>
      </c>
      <c r="I405" t="s">
        <v>525</v>
      </c>
      <c r="J405" s="6">
        <v>0</v>
      </c>
      <c r="K405" s="6">
        <v>0</v>
      </c>
    </row>
    <row r="406" spans="1:11" x14ac:dyDescent="0.2">
      <c r="A406">
        <v>3</v>
      </c>
      <c r="B406" t="s">
        <v>484</v>
      </c>
      <c r="C406" t="s">
        <v>109</v>
      </c>
      <c r="D406" t="s">
        <v>5</v>
      </c>
      <c r="E406" t="s">
        <v>123</v>
      </c>
      <c r="F406" t="s">
        <v>5</v>
      </c>
      <c r="G406" t="s">
        <v>167</v>
      </c>
      <c r="H406" t="s">
        <v>343</v>
      </c>
      <c r="I406" t="s">
        <v>525</v>
      </c>
      <c r="J406" s="6">
        <v>11.77</v>
      </c>
      <c r="K406" s="6">
        <v>18.8</v>
      </c>
    </row>
    <row r="407" spans="1:11" x14ac:dyDescent="0.2">
      <c r="A407">
        <v>3</v>
      </c>
      <c r="B407" t="s">
        <v>484</v>
      </c>
      <c r="C407" t="s">
        <v>72</v>
      </c>
      <c r="D407" t="s">
        <v>6</v>
      </c>
      <c r="E407" t="s">
        <v>25</v>
      </c>
      <c r="F407" t="s">
        <v>6</v>
      </c>
      <c r="G407" t="s">
        <v>214</v>
      </c>
      <c r="H407" t="s">
        <v>343</v>
      </c>
      <c r="I407" t="s">
        <v>525</v>
      </c>
      <c r="J407" s="6">
        <v>10.5</v>
      </c>
      <c r="K407" s="6">
        <v>12.3</v>
      </c>
    </row>
    <row r="408" spans="1:11" x14ac:dyDescent="0.2">
      <c r="A408">
        <v>3</v>
      </c>
      <c r="B408" t="s">
        <v>484</v>
      </c>
      <c r="C408" t="s">
        <v>362</v>
      </c>
      <c r="D408" t="s">
        <v>6</v>
      </c>
      <c r="E408" t="s">
        <v>296</v>
      </c>
      <c r="F408" t="s">
        <v>11</v>
      </c>
      <c r="G408" t="s">
        <v>328</v>
      </c>
      <c r="H408" t="s">
        <v>343</v>
      </c>
      <c r="I408" t="s">
        <v>525</v>
      </c>
      <c r="J408" s="6">
        <v>8.89</v>
      </c>
      <c r="K408" s="6">
        <v>16.3</v>
      </c>
    </row>
    <row r="409" spans="1:11" x14ac:dyDescent="0.2">
      <c r="A409">
        <v>3</v>
      </c>
      <c r="B409" t="s">
        <v>484</v>
      </c>
      <c r="C409" t="s">
        <v>434</v>
      </c>
      <c r="D409" t="s">
        <v>4</v>
      </c>
      <c r="E409" t="s">
        <v>298</v>
      </c>
      <c r="F409" t="s">
        <v>4</v>
      </c>
      <c r="G409" t="s">
        <v>64</v>
      </c>
      <c r="H409" t="s">
        <v>343</v>
      </c>
      <c r="I409" t="s">
        <v>525</v>
      </c>
      <c r="J409" s="6">
        <v>16.420000000000002</v>
      </c>
      <c r="K409" s="6">
        <v>22.58</v>
      </c>
    </row>
    <row r="410" spans="1:11" x14ac:dyDescent="0.2">
      <c r="A410">
        <v>3</v>
      </c>
      <c r="B410" t="s">
        <v>484</v>
      </c>
      <c r="C410" t="s">
        <v>353</v>
      </c>
      <c r="D410" t="s">
        <v>5</v>
      </c>
      <c r="E410" t="s">
        <v>299</v>
      </c>
      <c r="F410" t="s">
        <v>5</v>
      </c>
      <c r="G410" t="s">
        <v>194</v>
      </c>
      <c r="H410" t="s">
        <v>343</v>
      </c>
      <c r="I410" t="s">
        <v>525</v>
      </c>
      <c r="J410" s="6">
        <v>14.17</v>
      </c>
      <c r="K410" s="6">
        <v>19.100000000000001</v>
      </c>
    </row>
    <row r="411" spans="1:11" x14ac:dyDescent="0.2">
      <c r="A411">
        <v>3</v>
      </c>
      <c r="B411" t="s">
        <v>484</v>
      </c>
      <c r="C411" t="s">
        <v>436</v>
      </c>
      <c r="D411" t="s">
        <v>9</v>
      </c>
      <c r="E411" t="s">
        <v>301</v>
      </c>
      <c r="F411" t="s">
        <v>9</v>
      </c>
      <c r="G411" t="s">
        <v>333</v>
      </c>
      <c r="H411" t="s">
        <v>343</v>
      </c>
      <c r="I411" t="s">
        <v>525</v>
      </c>
      <c r="J411" s="6">
        <v>7.72</v>
      </c>
      <c r="K411" s="6">
        <v>20.6</v>
      </c>
    </row>
    <row r="412" spans="1:11" x14ac:dyDescent="0.2">
      <c r="A412">
        <v>3</v>
      </c>
      <c r="B412" t="s">
        <v>484</v>
      </c>
      <c r="C412" t="s">
        <v>54</v>
      </c>
      <c r="D412" t="s">
        <v>6</v>
      </c>
      <c r="E412" t="s">
        <v>125</v>
      </c>
      <c r="F412" t="s">
        <v>16</v>
      </c>
      <c r="G412" t="s">
        <v>193</v>
      </c>
      <c r="H412" t="s">
        <v>343</v>
      </c>
      <c r="I412" t="s">
        <v>525</v>
      </c>
      <c r="J412" s="6">
        <v>9.1300000000000008</v>
      </c>
      <c r="K412" s="6">
        <v>5.5</v>
      </c>
    </row>
    <row r="413" spans="1:11" x14ac:dyDescent="0.2">
      <c r="A413">
        <v>3</v>
      </c>
      <c r="B413" t="s">
        <v>484</v>
      </c>
      <c r="C413" t="s">
        <v>378</v>
      </c>
      <c r="D413" t="s">
        <v>5</v>
      </c>
      <c r="E413" t="s">
        <v>358</v>
      </c>
      <c r="F413" t="s">
        <v>11</v>
      </c>
      <c r="G413" t="s">
        <v>321</v>
      </c>
      <c r="H413" t="s">
        <v>343</v>
      </c>
      <c r="I413" t="s">
        <v>525</v>
      </c>
      <c r="J413" s="6">
        <v>8.2899999999999991</v>
      </c>
      <c r="K413" s="6">
        <v>4.8</v>
      </c>
    </row>
    <row r="414" spans="1:11" x14ac:dyDescent="0.2">
      <c r="A414">
        <v>3</v>
      </c>
      <c r="B414" t="s">
        <v>484</v>
      </c>
      <c r="C414" t="s">
        <v>373</v>
      </c>
      <c r="D414" t="s">
        <v>4</v>
      </c>
      <c r="E414" t="s">
        <v>288</v>
      </c>
      <c r="F414" t="s">
        <v>16</v>
      </c>
      <c r="G414" t="s">
        <v>129</v>
      </c>
      <c r="H414" t="s">
        <v>343</v>
      </c>
      <c r="I414" t="s">
        <v>525</v>
      </c>
      <c r="J414" s="6">
        <v>16.62</v>
      </c>
      <c r="K414" s="6">
        <v>19.36</v>
      </c>
    </row>
    <row r="415" spans="1:11" x14ac:dyDescent="0.2">
      <c r="A415">
        <v>3</v>
      </c>
      <c r="B415" t="s">
        <v>484</v>
      </c>
      <c r="C415" t="s">
        <v>406</v>
      </c>
      <c r="D415" t="s">
        <v>6</v>
      </c>
      <c r="E415" t="s">
        <v>289</v>
      </c>
      <c r="F415" t="s">
        <v>6</v>
      </c>
      <c r="G415" t="s">
        <v>278</v>
      </c>
      <c r="H415" t="s">
        <v>343</v>
      </c>
      <c r="I415" t="s">
        <v>525</v>
      </c>
      <c r="J415" s="6">
        <v>11.13</v>
      </c>
      <c r="K415" s="6">
        <v>2.8</v>
      </c>
    </row>
    <row r="416" spans="1:11" x14ac:dyDescent="0.2">
      <c r="A416">
        <v>3</v>
      </c>
      <c r="B416" t="s">
        <v>484</v>
      </c>
      <c r="C416" t="s">
        <v>412</v>
      </c>
      <c r="D416" t="s">
        <v>12</v>
      </c>
      <c r="E416" t="s">
        <v>284</v>
      </c>
      <c r="F416" t="s">
        <v>12</v>
      </c>
      <c r="G416" t="s">
        <v>63</v>
      </c>
      <c r="H416" t="s">
        <v>343</v>
      </c>
      <c r="I416" t="s">
        <v>525</v>
      </c>
      <c r="J416" s="6">
        <v>8.02</v>
      </c>
      <c r="K416" s="6">
        <v>-1</v>
      </c>
    </row>
    <row r="417" spans="1:11" x14ac:dyDescent="0.2">
      <c r="A417">
        <v>3</v>
      </c>
      <c r="B417" t="s">
        <v>484</v>
      </c>
      <c r="C417" t="s">
        <v>433</v>
      </c>
      <c r="D417" t="s">
        <v>13</v>
      </c>
      <c r="E417" t="s">
        <v>299</v>
      </c>
      <c r="F417" t="s">
        <v>13</v>
      </c>
      <c r="G417" t="s">
        <v>242</v>
      </c>
      <c r="H417" t="s">
        <v>343</v>
      </c>
      <c r="I417" t="s">
        <v>525</v>
      </c>
      <c r="J417" s="6">
        <v>8.4600000000000009</v>
      </c>
      <c r="K417" s="6">
        <v>13</v>
      </c>
    </row>
    <row r="418" spans="1:11" x14ac:dyDescent="0.2">
      <c r="A418">
        <v>3</v>
      </c>
      <c r="B418" t="s">
        <v>484</v>
      </c>
      <c r="C418" t="s">
        <v>85</v>
      </c>
      <c r="D418" t="s">
        <v>5</v>
      </c>
      <c r="E418" t="s">
        <v>52</v>
      </c>
      <c r="F418" t="s">
        <v>16</v>
      </c>
      <c r="G418" t="s">
        <v>510</v>
      </c>
      <c r="H418" t="s">
        <v>343</v>
      </c>
      <c r="I418" t="s">
        <v>525</v>
      </c>
      <c r="J418" s="6">
        <v>7.15</v>
      </c>
      <c r="K418" s="6">
        <v>1.7</v>
      </c>
    </row>
    <row r="419" spans="1:11" x14ac:dyDescent="0.2">
      <c r="A419">
        <v>3</v>
      </c>
      <c r="B419" t="s">
        <v>343</v>
      </c>
      <c r="C419" t="s">
        <v>435</v>
      </c>
      <c r="D419" t="s">
        <v>5</v>
      </c>
      <c r="E419" t="s">
        <v>290</v>
      </c>
      <c r="F419" t="s">
        <v>5</v>
      </c>
      <c r="G419" t="s">
        <v>65</v>
      </c>
      <c r="H419" t="s">
        <v>511</v>
      </c>
      <c r="I419" t="s">
        <v>526</v>
      </c>
      <c r="J419" s="6">
        <v>17.010000000000002</v>
      </c>
      <c r="K419" s="6">
        <v>21.4</v>
      </c>
    </row>
    <row r="420" spans="1:11" x14ac:dyDescent="0.2">
      <c r="A420">
        <v>3</v>
      </c>
      <c r="B420" t="s">
        <v>343</v>
      </c>
      <c r="C420" t="s">
        <v>379</v>
      </c>
      <c r="D420" t="s">
        <v>5</v>
      </c>
      <c r="E420" t="s">
        <v>287</v>
      </c>
      <c r="F420" t="s">
        <v>5</v>
      </c>
      <c r="G420" t="s">
        <v>215</v>
      </c>
      <c r="H420" t="s">
        <v>511</v>
      </c>
      <c r="I420" t="s">
        <v>526</v>
      </c>
      <c r="J420" s="6">
        <v>17.27</v>
      </c>
      <c r="K420" s="6">
        <v>1.7</v>
      </c>
    </row>
    <row r="421" spans="1:11" x14ac:dyDescent="0.2">
      <c r="A421">
        <v>3</v>
      </c>
      <c r="B421" t="s">
        <v>343</v>
      </c>
      <c r="C421" t="s">
        <v>396</v>
      </c>
      <c r="D421" t="s">
        <v>4</v>
      </c>
      <c r="E421" t="s">
        <v>290</v>
      </c>
      <c r="F421" t="s">
        <v>4</v>
      </c>
      <c r="G421" t="s">
        <v>103</v>
      </c>
      <c r="H421" t="s">
        <v>511</v>
      </c>
      <c r="I421" t="s">
        <v>526</v>
      </c>
      <c r="J421" s="6">
        <v>21.08</v>
      </c>
      <c r="K421" s="6">
        <v>20.440000000000001</v>
      </c>
    </row>
    <row r="422" spans="1:11" x14ac:dyDescent="0.2">
      <c r="A422">
        <v>3</v>
      </c>
      <c r="B422" t="s">
        <v>343</v>
      </c>
      <c r="C422" t="s">
        <v>406</v>
      </c>
      <c r="D422" t="s">
        <v>6</v>
      </c>
      <c r="E422" t="s">
        <v>289</v>
      </c>
      <c r="F422" t="s">
        <v>6</v>
      </c>
      <c r="G422" t="s">
        <v>317</v>
      </c>
      <c r="H422" t="s">
        <v>511</v>
      </c>
      <c r="I422" t="s">
        <v>526</v>
      </c>
      <c r="J422" s="6">
        <v>11.91</v>
      </c>
      <c r="K422" s="6">
        <v>2.7</v>
      </c>
    </row>
    <row r="423" spans="1:11" x14ac:dyDescent="0.2">
      <c r="A423">
        <v>3</v>
      </c>
      <c r="B423" t="s">
        <v>343</v>
      </c>
      <c r="C423" t="s">
        <v>418</v>
      </c>
      <c r="D423" t="s">
        <v>4</v>
      </c>
      <c r="E423" t="s">
        <v>285</v>
      </c>
      <c r="F423" t="s">
        <v>16</v>
      </c>
      <c r="G423" t="s">
        <v>42</v>
      </c>
      <c r="H423" t="s">
        <v>511</v>
      </c>
      <c r="I423" t="s">
        <v>526</v>
      </c>
      <c r="J423" s="6">
        <v>17.12</v>
      </c>
      <c r="K423" s="6">
        <v>18.940000000000001</v>
      </c>
    </row>
    <row r="424" spans="1:11" x14ac:dyDescent="0.2">
      <c r="A424">
        <v>3</v>
      </c>
      <c r="B424" t="s">
        <v>343</v>
      </c>
      <c r="C424" t="s">
        <v>371</v>
      </c>
      <c r="D424" t="s">
        <v>6</v>
      </c>
      <c r="E424" t="s">
        <v>297</v>
      </c>
      <c r="F424" t="s">
        <v>6</v>
      </c>
      <c r="G424" t="s">
        <v>491</v>
      </c>
      <c r="H424" t="s">
        <v>511</v>
      </c>
      <c r="I424" t="s">
        <v>526</v>
      </c>
      <c r="J424" s="6">
        <v>9.6</v>
      </c>
      <c r="K424" s="6">
        <v>8.8000000000000007</v>
      </c>
    </row>
    <row r="425" spans="1:11" x14ac:dyDescent="0.2">
      <c r="A425">
        <v>3</v>
      </c>
      <c r="B425" t="s">
        <v>343</v>
      </c>
      <c r="C425" t="s">
        <v>237</v>
      </c>
      <c r="D425" t="s">
        <v>13</v>
      </c>
      <c r="E425" t="s">
        <v>125</v>
      </c>
      <c r="F425" t="s">
        <v>13</v>
      </c>
      <c r="G425" t="s">
        <v>236</v>
      </c>
      <c r="H425" t="s">
        <v>511</v>
      </c>
      <c r="I425" t="s">
        <v>526</v>
      </c>
      <c r="J425" s="6">
        <v>9.1</v>
      </c>
      <c r="K425" s="6">
        <v>9</v>
      </c>
    </row>
    <row r="426" spans="1:11" x14ac:dyDescent="0.2">
      <c r="A426">
        <v>3</v>
      </c>
      <c r="B426" t="s">
        <v>343</v>
      </c>
      <c r="C426" t="s">
        <v>380</v>
      </c>
      <c r="D426" t="s">
        <v>12</v>
      </c>
      <c r="E426" t="s">
        <v>286</v>
      </c>
      <c r="F426" t="s">
        <v>12</v>
      </c>
      <c r="G426" t="s">
        <v>254</v>
      </c>
      <c r="H426" t="s">
        <v>511</v>
      </c>
      <c r="I426" t="s">
        <v>526</v>
      </c>
      <c r="J426" s="6">
        <v>6.43</v>
      </c>
      <c r="K426" s="6">
        <v>10</v>
      </c>
    </row>
    <row r="427" spans="1:11" x14ac:dyDescent="0.2">
      <c r="A427">
        <v>3</v>
      </c>
      <c r="B427" t="s">
        <v>343</v>
      </c>
      <c r="C427" t="s">
        <v>356</v>
      </c>
      <c r="D427" t="s">
        <v>9</v>
      </c>
      <c r="E427" t="s">
        <v>285</v>
      </c>
      <c r="F427" t="s">
        <v>9</v>
      </c>
      <c r="G427" t="s">
        <v>185</v>
      </c>
      <c r="H427" t="s">
        <v>511</v>
      </c>
      <c r="I427" t="s">
        <v>526</v>
      </c>
      <c r="J427" s="6">
        <v>6.77</v>
      </c>
      <c r="K427" s="6">
        <v>7.8</v>
      </c>
    </row>
    <row r="428" spans="1:11" x14ac:dyDescent="0.2">
      <c r="A428">
        <v>3</v>
      </c>
      <c r="B428" t="s">
        <v>343</v>
      </c>
      <c r="C428" t="s">
        <v>349</v>
      </c>
      <c r="D428" t="s">
        <v>6</v>
      </c>
      <c r="E428" t="s">
        <v>284</v>
      </c>
      <c r="F428" t="s">
        <v>11</v>
      </c>
      <c r="G428" t="s">
        <v>492</v>
      </c>
      <c r="H428" t="s">
        <v>511</v>
      </c>
      <c r="I428" t="s">
        <v>526</v>
      </c>
      <c r="J428" s="6">
        <v>6.33</v>
      </c>
      <c r="K428" s="6">
        <v>4.4000000000000004</v>
      </c>
    </row>
    <row r="429" spans="1:11" x14ac:dyDescent="0.2">
      <c r="A429">
        <v>3</v>
      </c>
      <c r="B429" t="s">
        <v>343</v>
      </c>
      <c r="C429" t="s">
        <v>425</v>
      </c>
      <c r="D429" t="s">
        <v>5</v>
      </c>
      <c r="E429" t="s">
        <v>286</v>
      </c>
      <c r="F429" t="s">
        <v>11</v>
      </c>
      <c r="G429" t="s">
        <v>332</v>
      </c>
      <c r="H429" t="s">
        <v>511</v>
      </c>
      <c r="I429" t="s">
        <v>526</v>
      </c>
      <c r="J429" s="6">
        <v>7.76</v>
      </c>
      <c r="K429" s="6">
        <v>8.6</v>
      </c>
    </row>
    <row r="430" spans="1:11" x14ac:dyDescent="0.2">
      <c r="A430">
        <v>3</v>
      </c>
      <c r="B430" t="s">
        <v>343</v>
      </c>
      <c r="C430" t="s">
        <v>70</v>
      </c>
      <c r="D430" t="s">
        <v>6</v>
      </c>
      <c r="E430" t="s">
        <v>41</v>
      </c>
      <c r="F430" t="s">
        <v>16</v>
      </c>
      <c r="G430" t="s">
        <v>259</v>
      </c>
      <c r="H430" t="s">
        <v>511</v>
      </c>
      <c r="I430" t="s">
        <v>526</v>
      </c>
      <c r="J430" s="6">
        <v>4.78</v>
      </c>
      <c r="K430" s="6">
        <v>0</v>
      </c>
    </row>
    <row r="431" spans="1:11" x14ac:dyDescent="0.2">
      <c r="A431">
        <v>3</v>
      </c>
      <c r="B431" t="s">
        <v>343</v>
      </c>
      <c r="C431" t="s">
        <v>460</v>
      </c>
      <c r="D431" t="s">
        <v>9</v>
      </c>
      <c r="E431" t="s">
        <v>123</v>
      </c>
      <c r="F431" t="s">
        <v>16</v>
      </c>
      <c r="G431" t="s">
        <v>493</v>
      </c>
      <c r="H431" t="s">
        <v>511</v>
      </c>
      <c r="I431" t="s">
        <v>526</v>
      </c>
      <c r="J431" s="6">
        <v>8.6300000000000008</v>
      </c>
      <c r="K431" s="6">
        <v>1.4</v>
      </c>
    </row>
    <row r="432" spans="1:11" x14ac:dyDescent="0.2">
      <c r="A432">
        <v>3</v>
      </c>
      <c r="B432" t="s">
        <v>343</v>
      </c>
      <c r="C432" t="s">
        <v>375</v>
      </c>
      <c r="D432" t="s">
        <v>5</v>
      </c>
      <c r="E432" t="s">
        <v>298</v>
      </c>
      <c r="F432" t="s">
        <v>16</v>
      </c>
      <c r="G432" t="s">
        <v>164</v>
      </c>
      <c r="H432" t="s">
        <v>511</v>
      </c>
      <c r="I432" t="s">
        <v>526</v>
      </c>
      <c r="J432" s="6">
        <v>4.05</v>
      </c>
      <c r="K432" s="6">
        <v>1.9</v>
      </c>
    </row>
    <row r="433" spans="1:11" x14ac:dyDescent="0.2">
      <c r="A433">
        <v>3</v>
      </c>
      <c r="B433" t="s">
        <v>469</v>
      </c>
      <c r="C433" t="s">
        <v>85</v>
      </c>
      <c r="D433" t="s">
        <v>5</v>
      </c>
      <c r="E433" t="s">
        <v>52</v>
      </c>
      <c r="F433" t="s">
        <v>5</v>
      </c>
      <c r="G433" t="s">
        <v>84</v>
      </c>
      <c r="H433" t="s">
        <v>494</v>
      </c>
      <c r="I433" t="s">
        <v>527</v>
      </c>
      <c r="J433" s="6">
        <v>18.600000000000001</v>
      </c>
      <c r="K433" s="6">
        <v>19.600000000000001</v>
      </c>
    </row>
    <row r="434" spans="1:11" x14ac:dyDescent="0.2">
      <c r="A434">
        <v>3</v>
      </c>
      <c r="B434" t="s">
        <v>469</v>
      </c>
      <c r="C434" t="s">
        <v>71</v>
      </c>
      <c r="D434" t="s">
        <v>5</v>
      </c>
      <c r="E434" t="s">
        <v>25</v>
      </c>
      <c r="F434" t="s">
        <v>5</v>
      </c>
      <c r="G434" t="s">
        <v>147</v>
      </c>
      <c r="H434" t="s">
        <v>494</v>
      </c>
      <c r="I434" t="s">
        <v>527</v>
      </c>
      <c r="J434" s="6">
        <v>19.350000000000001</v>
      </c>
      <c r="K434" s="6">
        <v>20.3</v>
      </c>
    </row>
    <row r="435" spans="1:11" x14ac:dyDescent="0.2">
      <c r="A435">
        <v>3</v>
      </c>
      <c r="B435" t="s">
        <v>469</v>
      </c>
      <c r="C435" t="s">
        <v>397</v>
      </c>
      <c r="D435" t="s">
        <v>6</v>
      </c>
      <c r="E435" t="s">
        <v>290</v>
      </c>
      <c r="F435" t="s">
        <v>6</v>
      </c>
      <c r="G435" t="s">
        <v>195</v>
      </c>
      <c r="H435" t="s">
        <v>494</v>
      </c>
      <c r="I435" t="s">
        <v>527</v>
      </c>
      <c r="J435" s="6">
        <v>11.54</v>
      </c>
      <c r="K435" s="6">
        <v>12.9</v>
      </c>
    </row>
    <row r="436" spans="1:11" x14ac:dyDescent="0.2">
      <c r="A436">
        <v>3</v>
      </c>
      <c r="B436" t="s">
        <v>469</v>
      </c>
      <c r="C436" t="s">
        <v>416</v>
      </c>
      <c r="D436" t="s">
        <v>5</v>
      </c>
      <c r="E436" t="s">
        <v>296</v>
      </c>
      <c r="F436" t="s">
        <v>11</v>
      </c>
      <c r="G436" t="s">
        <v>66</v>
      </c>
      <c r="H436" t="s">
        <v>494</v>
      </c>
      <c r="I436" t="s">
        <v>527</v>
      </c>
      <c r="J436" s="6">
        <v>11.7</v>
      </c>
      <c r="K436" s="6">
        <v>9.8000000000000007</v>
      </c>
    </row>
    <row r="437" spans="1:11" x14ac:dyDescent="0.2">
      <c r="A437">
        <v>3</v>
      </c>
      <c r="B437" t="s">
        <v>469</v>
      </c>
      <c r="C437" t="s">
        <v>383</v>
      </c>
      <c r="D437" t="s">
        <v>6</v>
      </c>
      <c r="E437" t="s">
        <v>300</v>
      </c>
      <c r="F437" t="s">
        <v>16</v>
      </c>
      <c r="G437" t="s">
        <v>199</v>
      </c>
      <c r="H437" t="s">
        <v>494</v>
      </c>
      <c r="I437" t="s">
        <v>527</v>
      </c>
      <c r="J437" s="6">
        <v>5.76</v>
      </c>
      <c r="K437" s="6">
        <v>5.5</v>
      </c>
    </row>
    <row r="438" spans="1:11" x14ac:dyDescent="0.2">
      <c r="A438">
        <v>3</v>
      </c>
      <c r="B438" t="s">
        <v>469</v>
      </c>
      <c r="C438" t="s">
        <v>251</v>
      </c>
      <c r="D438" t="s">
        <v>9</v>
      </c>
      <c r="E438" t="s">
        <v>24</v>
      </c>
      <c r="F438" t="s">
        <v>9</v>
      </c>
      <c r="G438" t="s">
        <v>250</v>
      </c>
      <c r="H438" t="s">
        <v>494</v>
      </c>
      <c r="I438" t="s">
        <v>527</v>
      </c>
      <c r="J438" s="6">
        <v>8.27</v>
      </c>
      <c r="K438" s="6">
        <v>4.5999999999999996</v>
      </c>
    </row>
    <row r="439" spans="1:11" x14ac:dyDescent="0.2">
      <c r="A439">
        <v>3</v>
      </c>
      <c r="B439" t="s">
        <v>469</v>
      </c>
      <c r="C439" t="s">
        <v>354</v>
      </c>
      <c r="D439" t="s">
        <v>5</v>
      </c>
      <c r="E439" t="s">
        <v>294</v>
      </c>
      <c r="F439" t="s">
        <v>16</v>
      </c>
      <c r="G439" t="s">
        <v>100</v>
      </c>
      <c r="H439" t="s">
        <v>494</v>
      </c>
      <c r="I439" t="s">
        <v>527</v>
      </c>
      <c r="J439" s="6">
        <v>10.28</v>
      </c>
      <c r="K439" s="6">
        <v>5.8</v>
      </c>
    </row>
    <row r="440" spans="1:11" x14ac:dyDescent="0.2">
      <c r="A440">
        <v>3</v>
      </c>
      <c r="B440" t="s">
        <v>469</v>
      </c>
      <c r="C440" t="s">
        <v>70</v>
      </c>
      <c r="D440" t="s">
        <v>6</v>
      </c>
      <c r="E440" t="s">
        <v>41</v>
      </c>
      <c r="F440" t="s">
        <v>11</v>
      </c>
      <c r="G440" t="s">
        <v>313</v>
      </c>
      <c r="H440" t="s">
        <v>494</v>
      </c>
      <c r="I440" t="s">
        <v>527</v>
      </c>
      <c r="J440" s="6">
        <v>7.1</v>
      </c>
      <c r="K440" s="6">
        <v>4</v>
      </c>
    </row>
    <row r="441" spans="1:11" x14ac:dyDescent="0.2">
      <c r="A441">
        <v>3</v>
      </c>
      <c r="B441" t="s">
        <v>469</v>
      </c>
      <c r="C441" t="s">
        <v>461</v>
      </c>
      <c r="D441" t="s">
        <v>4</v>
      </c>
      <c r="E441" t="s">
        <v>34</v>
      </c>
      <c r="F441" t="s">
        <v>4</v>
      </c>
      <c r="G441" t="s">
        <v>462</v>
      </c>
      <c r="H441" t="s">
        <v>494</v>
      </c>
      <c r="I441" t="s">
        <v>527</v>
      </c>
      <c r="J441" s="6">
        <v>18.88</v>
      </c>
      <c r="K441" s="6">
        <v>23.8</v>
      </c>
    </row>
    <row r="442" spans="1:11" x14ac:dyDescent="0.2">
      <c r="A442">
        <v>3</v>
      </c>
      <c r="B442" t="s">
        <v>469</v>
      </c>
      <c r="C442" t="s">
        <v>430</v>
      </c>
      <c r="D442" t="s">
        <v>12</v>
      </c>
      <c r="E442" t="s">
        <v>293</v>
      </c>
      <c r="F442" t="s">
        <v>12</v>
      </c>
      <c r="G442" t="s">
        <v>141</v>
      </c>
      <c r="H442" t="s">
        <v>494</v>
      </c>
      <c r="I442" t="s">
        <v>527</v>
      </c>
      <c r="J442" s="6">
        <v>6.49</v>
      </c>
      <c r="K442" s="6">
        <v>19</v>
      </c>
    </row>
    <row r="443" spans="1:11" x14ac:dyDescent="0.2">
      <c r="A443">
        <v>3</v>
      </c>
      <c r="B443" t="s">
        <v>469</v>
      </c>
      <c r="C443" t="s">
        <v>48</v>
      </c>
      <c r="D443" t="s">
        <v>6</v>
      </c>
      <c r="E443" t="s">
        <v>34</v>
      </c>
      <c r="F443" t="s">
        <v>6</v>
      </c>
      <c r="G443" t="s">
        <v>454</v>
      </c>
      <c r="H443" t="s">
        <v>494</v>
      </c>
      <c r="I443" t="s">
        <v>527</v>
      </c>
      <c r="J443" s="6">
        <v>9.4</v>
      </c>
      <c r="K443" s="6">
        <v>5.4</v>
      </c>
    </row>
    <row r="444" spans="1:11" x14ac:dyDescent="0.2">
      <c r="A444">
        <v>3</v>
      </c>
      <c r="B444" t="s">
        <v>469</v>
      </c>
      <c r="C444" t="s">
        <v>71</v>
      </c>
      <c r="D444" t="s">
        <v>5</v>
      </c>
      <c r="E444" t="s">
        <v>25</v>
      </c>
      <c r="F444" t="s">
        <v>16</v>
      </c>
      <c r="G444" t="s">
        <v>506</v>
      </c>
      <c r="H444" t="s">
        <v>494</v>
      </c>
      <c r="I444" t="s">
        <v>527</v>
      </c>
      <c r="J444" s="6">
        <v>5.41</v>
      </c>
      <c r="K444" s="6">
        <v>1.7</v>
      </c>
    </row>
    <row r="445" spans="1:11" x14ac:dyDescent="0.2">
      <c r="A445">
        <v>3</v>
      </c>
      <c r="B445" t="s">
        <v>469</v>
      </c>
      <c r="C445" t="s">
        <v>150</v>
      </c>
      <c r="D445" t="s">
        <v>6</v>
      </c>
      <c r="E445" t="s">
        <v>46</v>
      </c>
      <c r="F445" t="s">
        <v>16</v>
      </c>
      <c r="G445" t="s">
        <v>477</v>
      </c>
      <c r="H445" t="s">
        <v>494</v>
      </c>
      <c r="I445" t="s">
        <v>527</v>
      </c>
      <c r="J445" s="6">
        <v>6.84</v>
      </c>
      <c r="K445" s="6">
        <v>2.9</v>
      </c>
    </row>
    <row r="446" spans="1:11" x14ac:dyDescent="0.2">
      <c r="A446">
        <v>3</v>
      </c>
      <c r="B446" t="s">
        <v>469</v>
      </c>
      <c r="C446" t="s">
        <v>457</v>
      </c>
      <c r="D446" t="s">
        <v>13</v>
      </c>
      <c r="E446" t="s">
        <v>298</v>
      </c>
      <c r="F446" t="s">
        <v>13</v>
      </c>
      <c r="G446" t="s">
        <v>116</v>
      </c>
      <c r="H446" t="s">
        <v>494</v>
      </c>
      <c r="I446" t="s">
        <v>527</v>
      </c>
      <c r="J446" s="6">
        <v>7.8</v>
      </c>
      <c r="K446" s="6">
        <v>11</v>
      </c>
    </row>
    <row r="447" spans="1:11" x14ac:dyDescent="0.2">
      <c r="A447">
        <v>3</v>
      </c>
      <c r="B447" t="s">
        <v>494</v>
      </c>
      <c r="C447" t="s">
        <v>369</v>
      </c>
      <c r="D447" t="s">
        <v>5</v>
      </c>
      <c r="E447" t="s">
        <v>284</v>
      </c>
      <c r="F447" t="s">
        <v>5</v>
      </c>
      <c r="G447" t="s">
        <v>74</v>
      </c>
      <c r="H447" t="s">
        <v>507</v>
      </c>
      <c r="I447" t="s">
        <v>528</v>
      </c>
      <c r="J447" s="6">
        <v>16.13</v>
      </c>
      <c r="K447" s="6">
        <v>8.5</v>
      </c>
    </row>
    <row r="448" spans="1:11" x14ac:dyDescent="0.2">
      <c r="A448">
        <v>3</v>
      </c>
      <c r="B448" t="s">
        <v>494</v>
      </c>
      <c r="C448" t="s">
        <v>404</v>
      </c>
      <c r="D448" t="s">
        <v>6</v>
      </c>
      <c r="E448" t="s">
        <v>295</v>
      </c>
      <c r="F448" t="s">
        <v>6</v>
      </c>
      <c r="G448" t="s">
        <v>117</v>
      </c>
      <c r="H448" t="s">
        <v>507</v>
      </c>
      <c r="I448" t="s">
        <v>528</v>
      </c>
      <c r="J448" s="6">
        <v>12.52</v>
      </c>
      <c r="K448" s="6">
        <v>23.9</v>
      </c>
    </row>
    <row r="449" spans="1:11" x14ac:dyDescent="0.2">
      <c r="A449">
        <v>3</v>
      </c>
      <c r="B449" t="s">
        <v>494</v>
      </c>
      <c r="C449" t="s">
        <v>54</v>
      </c>
      <c r="D449" t="s">
        <v>6</v>
      </c>
      <c r="E449" t="s">
        <v>125</v>
      </c>
      <c r="F449" t="s">
        <v>6</v>
      </c>
      <c r="G449" t="s">
        <v>238</v>
      </c>
      <c r="H449" t="s">
        <v>507</v>
      </c>
      <c r="I449" t="s">
        <v>528</v>
      </c>
      <c r="J449" s="6">
        <v>11.02</v>
      </c>
      <c r="K449" s="6">
        <v>8.6</v>
      </c>
    </row>
    <row r="450" spans="1:11" x14ac:dyDescent="0.2">
      <c r="A450">
        <v>3</v>
      </c>
      <c r="B450" t="s">
        <v>494</v>
      </c>
      <c r="C450" t="s">
        <v>75</v>
      </c>
      <c r="D450" t="s">
        <v>5</v>
      </c>
      <c r="E450" t="s">
        <v>46</v>
      </c>
      <c r="F450" t="s">
        <v>5</v>
      </c>
      <c r="G450" t="s">
        <v>325</v>
      </c>
      <c r="H450" t="s">
        <v>507</v>
      </c>
      <c r="I450" t="s">
        <v>528</v>
      </c>
      <c r="J450" s="6">
        <v>13.13</v>
      </c>
      <c r="K450" s="6">
        <v>11.5</v>
      </c>
    </row>
    <row r="451" spans="1:11" x14ac:dyDescent="0.2">
      <c r="A451">
        <v>3</v>
      </c>
      <c r="B451" t="s">
        <v>494</v>
      </c>
      <c r="C451" t="s">
        <v>376</v>
      </c>
      <c r="D451" t="s">
        <v>6</v>
      </c>
      <c r="E451" t="s">
        <v>299</v>
      </c>
      <c r="F451" t="s">
        <v>16</v>
      </c>
      <c r="G451" t="s">
        <v>76</v>
      </c>
      <c r="H451" t="s">
        <v>507</v>
      </c>
      <c r="I451" t="s">
        <v>528</v>
      </c>
      <c r="J451" s="6">
        <v>9.52</v>
      </c>
      <c r="K451" s="6">
        <v>10.6</v>
      </c>
    </row>
    <row r="452" spans="1:11" x14ac:dyDescent="0.2">
      <c r="A452">
        <v>3</v>
      </c>
      <c r="B452" t="s">
        <v>494</v>
      </c>
      <c r="C452" t="s">
        <v>386</v>
      </c>
      <c r="D452" t="s">
        <v>5</v>
      </c>
      <c r="E452" t="s">
        <v>297</v>
      </c>
      <c r="F452" t="s">
        <v>11</v>
      </c>
      <c r="G452" t="s">
        <v>45</v>
      </c>
      <c r="H452" t="s">
        <v>507</v>
      </c>
      <c r="I452" t="s">
        <v>528</v>
      </c>
      <c r="J452" s="6">
        <v>9.66</v>
      </c>
      <c r="K452" s="6">
        <v>11.6</v>
      </c>
    </row>
    <row r="453" spans="1:11" x14ac:dyDescent="0.2">
      <c r="A453">
        <v>3</v>
      </c>
      <c r="B453" t="s">
        <v>494</v>
      </c>
      <c r="C453" t="s">
        <v>394</v>
      </c>
      <c r="D453" t="s">
        <v>4</v>
      </c>
      <c r="E453" t="s">
        <v>360</v>
      </c>
      <c r="F453" t="s">
        <v>4</v>
      </c>
      <c r="G453" t="s">
        <v>118</v>
      </c>
      <c r="H453" t="s">
        <v>507</v>
      </c>
      <c r="I453" t="s">
        <v>528</v>
      </c>
      <c r="J453" s="6">
        <v>17.47</v>
      </c>
      <c r="K453" s="6">
        <v>19.78</v>
      </c>
    </row>
    <row r="454" spans="1:11" x14ac:dyDescent="0.2">
      <c r="A454">
        <v>3</v>
      </c>
      <c r="B454" t="s">
        <v>494</v>
      </c>
      <c r="C454" t="s">
        <v>8</v>
      </c>
      <c r="D454" t="s">
        <v>6</v>
      </c>
      <c r="E454" t="s">
        <v>52</v>
      </c>
      <c r="F454" t="s">
        <v>11</v>
      </c>
      <c r="G454" t="s">
        <v>213</v>
      </c>
      <c r="H454" t="s">
        <v>507</v>
      </c>
      <c r="I454" t="s">
        <v>528</v>
      </c>
      <c r="J454" s="6">
        <v>10.5</v>
      </c>
      <c r="K454" s="6">
        <v>15.4</v>
      </c>
    </row>
    <row r="455" spans="1:11" x14ac:dyDescent="0.2">
      <c r="A455">
        <v>3</v>
      </c>
      <c r="B455" t="s">
        <v>494</v>
      </c>
      <c r="C455" t="s">
        <v>365</v>
      </c>
      <c r="D455" t="s">
        <v>5</v>
      </c>
      <c r="E455" t="s">
        <v>293</v>
      </c>
      <c r="F455" t="s">
        <v>11</v>
      </c>
      <c r="G455" t="s">
        <v>231</v>
      </c>
      <c r="H455" t="s">
        <v>507</v>
      </c>
      <c r="I455" t="s">
        <v>528</v>
      </c>
      <c r="J455" s="6">
        <v>0</v>
      </c>
      <c r="K455" s="6">
        <v>0</v>
      </c>
    </row>
    <row r="456" spans="1:11" x14ac:dyDescent="0.2">
      <c r="A456">
        <v>3</v>
      </c>
      <c r="B456" t="s">
        <v>494</v>
      </c>
      <c r="C456" t="s">
        <v>417</v>
      </c>
      <c r="D456" t="s">
        <v>6</v>
      </c>
      <c r="E456" t="s">
        <v>301</v>
      </c>
      <c r="F456" t="s">
        <v>16</v>
      </c>
      <c r="G456" t="s">
        <v>498</v>
      </c>
      <c r="H456" t="s">
        <v>507</v>
      </c>
      <c r="I456" t="s">
        <v>528</v>
      </c>
      <c r="J456" s="6">
        <v>9.19</v>
      </c>
      <c r="K456" s="6">
        <v>1.9</v>
      </c>
    </row>
    <row r="457" spans="1:11" x14ac:dyDescent="0.2">
      <c r="A457">
        <v>3</v>
      </c>
      <c r="B457" t="s">
        <v>494</v>
      </c>
      <c r="C457" t="s">
        <v>410</v>
      </c>
      <c r="D457" t="s">
        <v>9</v>
      </c>
      <c r="E457" t="s">
        <v>293</v>
      </c>
      <c r="F457" t="s">
        <v>9</v>
      </c>
      <c r="G457" t="s">
        <v>115</v>
      </c>
      <c r="H457" t="s">
        <v>507</v>
      </c>
      <c r="I457" t="s">
        <v>528</v>
      </c>
      <c r="J457" s="6">
        <v>6.92</v>
      </c>
      <c r="K457" s="6">
        <v>2.1</v>
      </c>
    </row>
    <row r="458" spans="1:11" x14ac:dyDescent="0.2">
      <c r="A458">
        <v>3</v>
      </c>
      <c r="B458" t="s">
        <v>494</v>
      </c>
      <c r="C458" t="s">
        <v>400</v>
      </c>
      <c r="D458" t="s">
        <v>4</v>
      </c>
      <c r="E458" t="s">
        <v>293</v>
      </c>
      <c r="F458" t="s">
        <v>16</v>
      </c>
      <c r="G458" t="s">
        <v>112</v>
      </c>
      <c r="H458" t="s">
        <v>507</v>
      </c>
      <c r="I458" t="s">
        <v>528</v>
      </c>
      <c r="J458" s="6">
        <v>17.350000000000001</v>
      </c>
      <c r="K458" s="6">
        <v>10.42</v>
      </c>
    </row>
    <row r="459" spans="1:11" x14ac:dyDescent="0.2">
      <c r="A459">
        <v>3</v>
      </c>
      <c r="B459" t="s">
        <v>494</v>
      </c>
      <c r="C459" t="s">
        <v>403</v>
      </c>
      <c r="D459" t="s">
        <v>13</v>
      </c>
      <c r="E459" t="s">
        <v>290</v>
      </c>
      <c r="F459" t="s">
        <v>13</v>
      </c>
      <c r="G459" t="s">
        <v>330</v>
      </c>
      <c r="H459" t="s">
        <v>507</v>
      </c>
      <c r="I459" t="s">
        <v>528</v>
      </c>
      <c r="J459" s="6">
        <v>8.69</v>
      </c>
      <c r="K459" s="6">
        <v>12</v>
      </c>
    </row>
    <row r="460" spans="1:11" x14ac:dyDescent="0.2">
      <c r="A460">
        <v>3</v>
      </c>
      <c r="B460" t="s">
        <v>494</v>
      </c>
      <c r="C460" t="s">
        <v>58</v>
      </c>
      <c r="D460" t="s">
        <v>12</v>
      </c>
      <c r="E460" t="s">
        <v>24</v>
      </c>
      <c r="F460" t="s">
        <v>12</v>
      </c>
      <c r="G460" t="s">
        <v>421</v>
      </c>
      <c r="H460" t="s">
        <v>507</v>
      </c>
      <c r="I460" t="s">
        <v>528</v>
      </c>
      <c r="J460" s="6">
        <v>4.84</v>
      </c>
      <c r="K460" s="6">
        <v>-6</v>
      </c>
    </row>
    <row r="461" spans="1:11" x14ac:dyDescent="0.2">
      <c r="A461">
        <v>3</v>
      </c>
      <c r="B461" t="s">
        <v>494</v>
      </c>
      <c r="C461" t="s">
        <v>354</v>
      </c>
      <c r="D461" t="s">
        <v>5</v>
      </c>
      <c r="E461" t="s">
        <v>294</v>
      </c>
      <c r="F461" t="s">
        <v>11</v>
      </c>
      <c r="G461" t="s">
        <v>476</v>
      </c>
      <c r="H461" t="s">
        <v>507</v>
      </c>
      <c r="I461" t="s">
        <v>528</v>
      </c>
      <c r="J461" s="6">
        <v>0</v>
      </c>
      <c r="K461" s="6">
        <v>0</v>
      </c>
    </row>
    <row r="462" spans="1:11" x14ac:dyDescent="0.2">
      <c r="A462">
        <v>3</v>
      </c>
      <c r="B462" t="s">
        <v>309</v>
      </c>
      <c r="C462" t="s">
        <v>384</v>
      </c>
      <c r="D462" t="s">
        <v>6</v>
      </c>
      <c r="E462" t="s">
        <v>292</v>
      </c>
      <c r="F462" t="s">
        <v>6</v>
      </c>
      <c r="G462" t="s">
        <v>187</v>
      </c>
      <c r="H462" t="s">
        <v>255</v>
      </c>
      <c r="I462" t="s">
        <v>529</v>
      </c>
      <c r="J462" s="6">
        <v>17.190000000000001</v>
      </c>
      <c r="K462" s="6">
        <v>30.36</v>
      </c>
    </row>
    <row r="463" spans="1:11" x14ac:dyDescent="0.2">
      <c r="A463">
        <v>3</v>
      </c>
      <c r="B463" t="s">
        <v>309</v>
      </c>
      <c r="C463" t="s">
        <v>44</v>
      </c>
      <c r="D463" t="s">
        <v>5</v>
      </c>
      <c r="E463" t="s">
        <v>55</v>
      </c>
      <c r="F463" t="s">
        <v>5</v>
      </c>
      <c r="G463" t="s">
        <v>310</v>
      </c>
      <c r="H463" t="s">
        <v>255</v>
      </c>
      <c r="I463" t="s">
        <v>529</v>
      </c>
      <c r="J463" s="6">
        <v>16.54</v>
      </c>
      <c r="K463" s="6">
        <v>10.8</v>
      </c>
    </row>
    <row r="464" spans="1:11" x14ac:dyDescent="0.2">
      <c r="A464">
        <v>3</v>
      </c>
      <c r="B464" t="s">
        <v>309</v>
      </c>
      <c r="C464" t="s">
        <v>21</v>
      </c>
      <c r="D464" t="s">
        <v>6</v>
      </c>
      <c r="E464" t="s">
        <v>124</v>
      </c>
      <c r="F464" t="s">
        <v>6</v>
      </c>
      <c r="G464" t="s">
        <v>20</v>
      </c>
      <c r="H464" t="s">
        <v>255</v>
      </c>
      <c r="I464" t="s">
        <v>529</v>
      </c>
      <c r="J464" s="6">
        <v>13.12</v>
      </c>
      <c r="K464" s="6">
        <v>21.7</v>
      </c>
    </row>
    <row r="465" spans="1:11" x14ac:dyDescent="0.2">
      <c r="A465">
        <v>3</v>
      </c>
      <c r="B465" t="s">
        <v>309</v>
      </c>
      <c r="C465" t="s">
        <v>382</v>
      </c>
      <c r="D465" t="s">
        <v>6</v>
      </c>
      <c r="E465" t="s">
        <v>298</v>
      </c>
      <c r="F465" t="s">
        <v>11</v>
      </c>
      <c r="G465" t="s">
        <v>106</v>
      </c>
      <c r="H465" t="s">
        <v>255</v>
      </c>
      <c r="I465" t="s">
        <v>529</v>
      </c>
      <c r="J465" s="6">
        <v>10.45</v>
      </c>
      <c r="K465" s="6">
        <v>18</v>
      </c>
    </row>
    <row r="466" spans="1:11" x14ac:dyDescent="0.2">
      <c r="A466">
        <v>3</v>
      </c>
      <c r="B466" t="s">
        <v>309</v>
      </c>
      <c r="C466" t="s">
        <v>364</v>
      </c>
      <c r="D466" t="s">
        <v>9</v>
      </c>
      <c r="E466" t="s">
        <v>291</v>
      </c>
      <c r="F466" t="s">
        <v>9</v>
      </c>
      <c r="G466" t="s">
        <v>322</v>
      </c>
      <c r="H466" t="s">
        <v>255</v>
      </c>
      <c r="I466" t="s">
        <v>529</v>
      </c>
      <c r="J466" s="6">
        <v>9.98</v>
      </c>
      <c r="K466" s="6">
        <v>10.199999999999999</v>
      </c>
    </row>
    <row r="467" spans="1:11" x14ac:dyDescent="0.2">
      <c r="A467">
        <v>3</v>
      </c>
      <c r="B467" t="s">
        <v>309</v>
      </c>
      <c r="C467" t="s">
        <v>8</v>
      </c>
      <c r="D467" t="s">
        <v>6</v>
      </c>
      <c r="E467" t="s">
        <v>52</v>
      </c>
      <c r="F467" t="s">
        <v>16</v>
      </c>
      <c r="G467" t="s">
        <v>114</v>
      </c>
      <c r="H467" t="s">
        <v>255</v>
      </c>
      <c r="I467" t="s">
        <v>529</v>
      </c>
      <c r="J467" s="6">
        <v>10.59</v>
      </c>
      <c r="K467" s="6">
        <v>10.9</v>
      </c>
    </row>
    <row r="468" spans="1:11" x14ac:dyDescent="0.2">
      <c r="A468">
        <v>3</v>
      </c>
      <c r="B468" t="s">
        <v>309</v>
      </c>
      <c r="C468" t="s">
        <v>155</v>
      </c>
      <c r="D468" t="s">
        <v>4</v>
      </c>
      <c r="E468" t="s">
        <v>46</v>
      </c>
      <c r="F468" t="s">
        <v>11</v>
      </c>
      <c r="G468" t="s">
        <v>345</v>
      </c>
      <c r="H468" t="s">
        <v>255</v>
      </c>
      <c r="I468" t="s">
        <v>529</v>
      </c>
      <c r="J468" s="6">
        <v>0</v>
      </c>
      <c r="K468" s="6">
        <v>0</v>
      </c>
    </row>
    <row r="469" spans="1:11" x14ac:dyDescent="0.2">
      <c r="A469">
        <v>3</v>
      </c>
      <c r="B469" t="s">
        <v>309</v>
      </c>
      <c r="C469" t="s">
        <v>365</v>
      </c>
      <c r="D469" t="s">
        <v>5</v>
      </c>
      <c r="E469" t="s">
        <v>293</v>
      </c>
      <c r="F469" t="s">
        <v>5</v>
      </c>
      <c r="G469" t="s">
        <v>318</v>
      </c>
      <c r="H469" t="s">
        <v>255</v>
      </c>
      <c r="I469" t="s">
        <v>529</v>
      </c>
      <c r="J469" s="6">
        <v>12.8</v>
      </c>
      <c r="K469" s="6">
        <v>11.7</v>
      </c>
    </row>
    <row r="470" spans="1:11" x14ac:dyDescent="0.2">
      <c r="A470">
        <v>3</v>
      </c>
      <c r="B470" t="s">
        <v>309</v>
      </c>
      <c r="C470" t="s">
        <v>389</v>
      </c>
      <c r="D470" t="s">
        <v>13</v>
      </c>
      <c r="E470" t="s">
        <v>292</v>
      </c>
      <c r="F470" t="s">
        <v>13</v>
      </c>
      <c r="G470" t="s">
        <v>306</v>
      </c>
      <c r="H470" t="s">
        <v>255</v>
      </c>
      <c r="I470" t="s">
        <v>529</v>
      </c>
      <c r="J470" s="6">
        <v>9.44</v>
      </c>
      <c r="K470" s="6">
        <v>9</v>
      </c>
    </row>
    <row r="471" spans="1:11" x14ac:dyDescent="0.2">
      <c r="A471">
        <v>3</v>
      </c>
      <c r="B471" t="s">
        <v>309</v>
      </c>
      <c r="C471" t="s">
        <v>359</v>
      </c>
      <c r="D471" t="s">
        <v>6</v>
      </c>
      <c r="E471" t="s">
        <v>360</v>
      </c>
      <c r="F471" t="s">
        <v>16</v>
      </c>
      <c r="G471" t="s">
        <v>320</v>
      </c>
      <c r="H471" t="s">
        <v>255</v>
      </c>
      <c r="I471" t="s">
        <v>529</v>
      </c>
      <c r="J471" s="6">
        <v>2.85</v>
      </c>
      <c r="K471" s="6">
        <v>0</v>
      </c>
    </row>
    <row r="472" spans="1:11" x14ac:dyDescent="0.2">
      <c r="A472">
        <v>3</v>
      </c>
      <c r="B472" t="s">
        <v>309</v>
      </c>
      <c r="C472" t="s">
        <v>378</v>
      </c>
      <c r="D472" t="s">
        <v>5</v>
      </c>
      <c r="E472" t="s">
        <v>358</v>
      </c>
      <c r="F472" t="s">
        <v>11</v>
      </c>
      <c r="G472" t="s">
        <v>165</v>
      </c>
      <c r="H472" t="s">
        <v>255</v>
      </c>
      <c r="I472" t="s">
        <v>529</v>
      </c>
      <c r="J472" s="6">
        <v>7.76</v>
      </c>
      <c r="K472" s="6">
        <v>10.6</v>
      </c>
    </row>
    <row r="473" spans="1:11" x14ac:dyDescent="0.2">
      <c r="A473">
        <v>3</v>
      </c>
      <c r="B473" t="s">
        <v>309</v>
      </c>
      <c r="C473" t="s">
        <v>367</v>
      </c>
      <c r="D473" t="s">
        <v>6</v>
      </c>
      <c r="E473" t="s">
        <v>286</v>
      </c>
      <c r="F473" t="s">
        <v>11</v>
      </c>
      <c r="G473" t="s">
        <v>198</v>
      </c>
      <c r="H473" t="s">
        <v>255</v>
      </c>
      <c r="I473" t="s">
        <v>529</v>
      </c>
      <c r="J473" s="6">
        <v>0</v>
      </c>
      <c r="K473" s="6">
        <v>0</v>
      </c>
    </row>
    <row r="474" spans="1:11" x14ac:dyDescent="0.2">
      <c r="A474">
        <v>3</v>
      </c>
      <c r="B474" t="s">
        <v>309</v>
      </c>
      <c r="C474" t="s">
        <v>423</v>
      </c>
      <c r="D474" t="s">
        <v>5</v>
      </c>
      <c r="E474" t="s">
        <v>288</v>
      </c>
      <c r="F474" t="s">
        <v>16</v>
      </c>
      <c r="G474" t="s">
        <v>153</v>
      </c>
      <c r="H474" t="s">
        <v>255</v>
      </c>
      <c r="I474" t="s">
        <v>529</v>
      </c>
      <c r="J474" s="6">
        <v>0</v>
      </c>
      <c r="K474" s="6">
        <v>0</v>
      </c>
    </row>
    <row r="475" spans="1:11" x14ac:dyDescent="0.2">
      <c r="A475">
        <v>3</v>
      </c>
      <c r="B475" t="s">
        <v>309</v>
      </c>
      <c r="C475" t="s">
        <v>31</v>
      </c>
      <c r="D475" t="s">
        <v>12</v>
      </c>
      <c r="E475" t="s">
        <v>41</v>
      </c>
      <c r="F475" t="s">
        <v>12</v>
      </c>
      <c r="G475" t="s">
        <v>30</v>
      </c>
      <c r="H475" t="s">
        <v>255</v>
      </c>
      <c r="I475" t="s">
        <v>529</v>
      </c>
      <c r="J475" s="6">
        <v>5.43</v>
      </c>
      <c r="K475" s="6">
        <v>7</v>
      </c>
    </row>
    <row r="476" spans="1:11" x14ac:dyDescent="0.2">
      <c r="A476">
        <v>3</v>
      </c>
      <c r="B476" t="s">
        <v>309</v>
      </c>
      <c r="C476" t="s">
        <v>101</v>
      </c>
      <c r="D476" t="s">
        <v>6</v>
      </c>
      <c r="E476" t="s">
        <v>24</v>
      </c>
      <c r="F476" t="s">
        <v>16</v>
      </c>
      <c r="G476" t="s">
        <v>224</v>
      </c>
      <c r="H476" t="s">
        <v>255</v>
      </c>
      <c r="I476" t="s">
        <v>529</v>
      </c>
      <c r="J476" s="6">
        <v>0</v>
      </c>
      <c r="K476" s="6">
        <v>0</v>
      </c>
    </row>
    <row r="477" spans="1:11" x14ac:dyDescent="0.2">
      <c r="A477">
        <v>3</v>
      </c>
      <c r="B477" t="s">
        <v>309</v>
      </c>
      <c r="C477" t="s">
        <v>341</v>
      </c>
      <c r="D477" t="s">
        <v>4</v>
      </c>
      <c r="E477" t="s">
        <v>55</v>
      </c>
      <c r="F477" t="s">
        <v>4</v>
      </c>
      <c r="G477" t="s">
        <v>33</v>
      </c>
      <c r="H477" t="s">
        <v>255</v>
      </c>
      <c r="I477" t="s">
        <v>529</v>
      </c>
      <c r="J477" s="6">
        <v>12.99</v>
      </c>
      <c r="K477" s="6">
        <v>22.22</v>
      </c>
    </row>
    <row r="478" spans="1:11" x14ac:dyDescent="0.2">
      <c r="A478">
        <v>3</v>
      </c>
      <c r="B478" t="s">
        <v>255</v>
      </c>
      <c r="C478" t="s">
        <v>377</v>
      </c>
      <c r="D478" t="s">
        <v>6</v>
      </c>
      <c r="E478" t="s">
        <v>285</v>
      </c>
      <c r="F478" t="s">
        <v>6</v>
      </c>
      <c r="G478" t="s">
        <v>67</v>
      </c>
      <c r="H478" t="s">
        <v>444</v>
      </c>
      <c r="I478" t="s">
        <v>530</v>
      </c>
      <c r="J478" s="6">
        <v>14.03</v>
      </c>
      <c r="K478" s="6">
        <v>16.7</v>
      </c>
    </row>
    <row r="479" spans="1:11" x14ac:dyDescent="0.2">
      <c r="A479">
        <v>3</v>
      </c>
      <c r="B479" t="s">
        <v>255</v>
      </c>
      <c r="C479" t="s">
        <v>350</v>
      </c>
      <c r="D479" t="s">
        <v>5</v>
      </c>
      <c r="E479" t="s">
        <v>300</v>
      </c>
      <c r="F479" t="s">
        <v>5</v>
      </c>
      <c r="G479" t="s">
        <v>503</v>
      </c>
      <c r="H479" t="s">
        <v>444</v>
      </c>
      <c r="I479" t="s">
        <v>530</v>
      </c>
      <c r="J479" s="6">
        <v>11.19</v>
      </c>
      <c r="K479" s="6">
        <v>19.399999999999999</v>
      </c>
    </row>
    <row r="480" spans="1:11" x14ac:dyDescent="0.2">
      <c r="A480">
        <v>3</v>
      </c>
      <c r="B480" t="s">
        <v>255</v>
      </c>
      <c r="C480" t="s">
        <v>150</v>
      </c>
      <c r="D480" t="s">
        <v>6</v>
      </c>
      <c r="E480" t="s">
        <v>46</v>
      </c>
      <c r="F480" t="s">
        <v>6</v>
      </c>
      <c r="G480" t="s">
        <v>212</v>
      </c>
      <c r="H480" t="s">
        <v>444</v>
      </c>
      <c r="I480" t="s">
        <v>530</v>
      </c>
      <c r="J480" s="6">
        <v>12.07</v>
      </c>
      <c r="K480" s="6">
        <v>5.0999999999999996</v>
      </c>
    </row>
    <row r="481" spans="1:11" x14ac:dyDescent="0.2">
      <c r="A481">
        <v>3</v>
      </c>
      <c r="B481" t="s">
        <v>255</v>
      </c>
      <c r="C481" t="s">
        <v>390</v>
      </c>
      <c r="D481" t="s">
        <v>6</v>
      </c>
      <c r="E481" t="s">
        <v>358</v>
      </c>
      <c r="F481" t="s">
        <v>11</v>
      </c>
      <c r="G481" t="s">
        <v>56</v>
      </c>
      <c r="H481" t="s">
        <v>444</v>
      </c>
      <c r="I481" t="s">
        <v>530</v>
      </c>
      <c r="J481" s="6">
        <v>9.69</v>
      </c>
      <c r="K481" s="6">
        <v>16.7</v>
      </c>
    </row>
    <row r="482" spans="1:11" x14ac:dyDescent="0.2">
      <c r="A482">
        <v>3</v>
      </c>
      <c r="B482" t="s">
        <v>255</v>
      </c>
      <c r="C482" t="s">
        <v>431</v>
      </c>
      <c r="D482" t="s">
        <v>4</v>
      </c>
      <c r="E482" t="s">
        <v>284</v>
      </c>
      <c r="F482" t="s">
        <v>4</v>
      </c>
      <c r="G482" t="s">
        <v>35</v>
      </c>
      <c r="H482" t="s">
        <v>444</v>
      </c>
      <c r="I482" t="s">
        <v>530</v>
      </c>
      <c r="J482" s="6">
        <v>19.8</v>
      </c>
      <c r="K482" s="6">
        <v>12.62</v>
      </c>
    </row>
    <row r="483" spans="1:11" x14ac:dyDescent="0.2">
      <c r="A483">
        <v>3</v>
      </c>
      <c r="B483" t="s">
        <v>255</v>
      </c>
      <c r="C483" t="s">
        <v>401</v>
      </c>
      <c r="D483" t="s">
        <v>9</v>
      </c>
      <c r="E483" t="s">
        <v>295</v>
      </c>
      <c r="F483" t="s">
        <v>16</v>
      </c>
      <c r="G483" t="s">
        <v>324</v>
      </c>
      <c r="H483" t="s">
        <v>444</v>
      </c>
      <c r="I483" t="s">
        <v>530</v>
      </c>
      <c r="J483" s="6">
        <v>7.85</v>
      </c>
      <c r="K483" s="6">
        <v>1</v>
      </c>
    </row>
    <row r="484" spans="1:11" x14ac:dyDescent="0.2">
      <c r="A484">
        <v>3</v>
      </c>
      <c r="B484" t="s">
        <v>255</v>
      </c>
      <c r="C484" t="s">
        <v>393</v>
      </c>
      <c r="D484" t="s">
        <v>5</v>
      </c>
      <c r="E484" t="s">
        <v>289</v>
      </c>
      <c r="F484" t="s">
        <v>5</v>
      </c>
      <c r="G484" t="s">
        <v>201</v>
      </c>
      <c r="H484" t="s">
        <v>444</v>
      </c>
      <c r="I484" t="s">
        <v>530</v>
      </c>
      <c r="J484" s="6">
        <v>13.17</v>
      </c>
      <c r="K484" s="6">
        <v>13</v>
      </c>
    </row>
    <row r="485" spans="1:11" x14ac:dyDescent="0.2">
      <c r="A485">
        <v>3</v>
      </c>
      <c r="B485" t="s">
        <v>255</v>
      </c>
      <c r="C485" t="s">
        <v>92</v>
      </c>
      <c r="D485" t="s">
        <v>4</v>
      </c>
      <c r="E485" t="s">
        <v>125</v>
      </c>
      <c r="F485" t="s">
        <v>16</v>
      </c>
      <c r="G485" t="s">
        <v>91</v>
      </c>
      <c r="H485" t="s">
        <v>444</v>
      </c>
      <c r="I485" t="s">
        <v>530</v>
      </c>
      <c r="J485" s="6">
        <v>17.260000000000002</v>
      </c>
      <c r="K485" s="6">
        <v>12.74</v>
      </c>
    </row>
    <row r="486" spans="1:11" x14ac:dyDescent="0.2">
      <c r="A486">
        <v>3</v>
      </c>
      <c r="B486" t="s">
        <v>255</v>
      </c>
      <c r="C486" t="s">
        <v>438</v>
      </c>
      <c r="D486" t="s">
        <v>12</v>
      </c>
      <c r="E486" t="s">
        <v>294</v>
      </c>
      <c r="F486" t="s">
        <v>16</v>
      </c>
      <c r="G486" t="s">
        <v>144</v>
      </c>
      <c r="H486" t="s">
        <v>444</v>
      </c>
      <c r="I486" t="s">
        <v>530</v>
      </c>
      <c r="J486" s="6">
        <v>3.81</v>
      </c>
      <c r="K486" s="6">
        <v>9</v>
      </c>
    </row>
    <row r="487" spans="1:11" x14ac:dyDescent="0.2">
      <c r="A487">
        <v>3</v>
      </c>
      <c r="B487" t="s">
        <v>255</v>
      </c>
      <c r="C487" t="s">
        <v>88</v>
      </c>
      <c r="D487" t="s">
        <v>9</v>
      </c>
      <c r="E487" t="s">
        <v>25</v>
      </c>
      <c r="F487" t="s">
        <v>9</v>
      </c>
      <c r="G487" t="s">
        <v>87</v>
      </c>
      <c r="H487" t="s">
        <v>444</v>
      </c>
      <c r="I487" t="s">
        <v>530</v>
      </c>
      <c r="J487" s="6">
        <v>10.23</v>
      </c>
      <c r="K487" s="6">
        <v>12.9</v>
      </c>
    </row>
    <row r="488" spans="1:11" x14ac:dyDescent="0.2">
      <c r="A488">
        <v>3</v>
      </c>
      <c r="B488" t="s">
        <v>255</v>
      </c>
      <c r="C488" t="s">
        <v>371</v>
      </c>
      <c r="D488" t="s">
        <v>6</v>
      </c>
      <c r="E488" t="s">
        <v>297</v>
      </c>
      <c r="F488" t="s">
        <v>16</v>
      </c>
      <c r="G488" t="s">
        <v>190</v>
      </c>
      <c r="H488" t="s">
        <v>444</v>
      </c>
      <c r="I488" t="s">
        <v>530</v>
      </c>
      <c r="J488" s="6">
        <v>5.33</v>
      </c>
      <c r="K488" s="6">
        <v>0</v>
      </c>
    </row>
    <row r="489" spans="1:11" x14ac:dyDescent="0.2">
      <c r="A489">
        <v>3</v>
      </c>
      <c r="B489" t="s">
        <v>255</v>
      </c>
      <c r="C489" t="s">
        <v>86</v>
      </c>
      <c r="D489" t="s">
        <v>6</v>
      </c>
      <c r="E489" t="s">
        <v>55</v>
      </c>
      <c r="F489" t="s">
        <v>11</v>
      </c>
      <c r="G489" t="s">
        <v>253</v>
      </c>
      <c r="H489" t="s">
        <v>444</v>
      </c>
      <c r="I489" t="s">
        <v>530</v>
      </c>
      <c r="J489" s="6">
        <v>8.0500000000000007</v>
      </c>
      <c r="K489" s="6">
        <v>6.3</v>
      </c>
    </row>
    <row r="490" spans="1:11" x14ac:dyDescent="0.2">
      <c r="A490">
        <v>3</v>
      </c>
      <c r="B490" t="s">
        <v>255</v>
      </c>
      <c r="C490" t="s">
        <v>130</v>
      </c>
      <c r="D490" t="s">
        <v>13</v>
      </c>
      <c r="E490" t="s">
        <v>41</v>
      </c>
      <c r="F490" t="s">
        <v>13</v>
      </c>
      <c r="G490" t="s">
        <v>246</v>
      </c>
      <c r="H490" t="s">
        <v>444</v>
      </c>
      <c r="I490" t="s">
        <v>530</v>
      </c>
      <c r="J490" s="6">
        <v>8.4</v>
      </c>
      <c r="K490" s="6">
        <v>12</v>
      </c>
    </row>
    <row r="491" spans="1:11" x14ac:dyDescent="0.2">
      <c r="A491">
        <v>3</v>
      </c>
      <c r="B491" t="s">
        <v>255</v>
      </c>
      <c r="C491" t="s">
        <v>531</v>
      </c>
      <c r="D491" t="s">
        <v>12</v>
      </c>
      <c r="E491" t="s">
        <v>298</v>
      </c>
      <c r="F491" t="s">
        <v>12</v>
      </c>
      <c r="G491" t="s">
        <v>128</v>
      </c>
      <c r="H491" t="s">
        <v>444</v>
      </c>
      <c r="I491" t="s">
        <v>530</v>
      </c>
      <c r="J491" s="6">
        <v>6.38</v>
      </c>
      <c r="K491" s="6">
        <v>0</v>
      </c>
    </row>
    <row r="492" spans="1:11" x14ac:dyDescent="0.2">
      <c r="A492">
        <v>3</v>
      </c>
      <c r="B492" t="s">
        <v>545</v>
      </c>
      <c r="C492" t="s">
        <v>361</v>
      </c>
      <c r="D492" t="s">
        <v>5</v>
      </c>
      <c r="E492" t="s">
        <v>291</v>
      </c>
      <c r="F492" t="s">
        <v>5</v>
      </c>
      <c r="G492" t="s">
        <v>93</v>
      </c>
      <c r="H492" t="s">
        <v>308</v>
      </c>
      <c r="I492" t="s">
        <v>532</v>
      </c>
      <c r="J492" s="6">
        <v>19.100000000000001</v>
      </c>
      <c r="K492" s="6">
        <v>8.1999999999999993</v>
      </c>
    </row>
    <row r="493" spans="1:11" x14ac:dyDescent="0.2">
      <c r="A493">
        <v>3</v>
      </c>
      <c r="B493" t="s">
        <v>545</v>
      </c>
      <c r="C493" t="s">
        <v>108</v>
      </c>
      <c r="D493" t="s">
        <v>9</v>
      </c>
      <c r="E493" t="s">
        <v>55</v>
      </c>
      <c r="F493" t="s">
        <v>11</v>
      </c>
      <c r="G493" t="s">
        <v>218</v>
      </c>
      <c r="H493" t="s">
        <v>308</v>
      </c>
      <c r="I493" t="s">
        <v>532</v>
      </c>
      <c r="J493" s="6">
        <v>11.15</v>
      </c>
      <c r="K493" s="6">
        <v>22.6</v>
      </c>
    </row>
    <row r="494" spans="1:11" x14ac:dyDescent="0.2">
      <c r="A494">
        <v>3</v>
      </c>
      <c r="B494" t="s">
        <v>545</v>
      </c>
      <c r="C494" t="s">
        <v>37</v>
      </c>
      <c r="D494" t="s">
        <v>5</v>
      </c>
      <c r="E494" t="s">
        <v>34</v>
      </c>
      <c r="F494" t="s">
        <v>5</v>
      </c>
      <c r="G494" t="s">
        <v>32</v>
      </c>
      <c r="H494" t="s">
        <v>308</v>
      </c>
      <c r="I494" t="s">
        <v>532</v>
      </c>
      <c r="J494" s="6">
        <v>10.78</v>
      </c>
      <c r="K494" s="6">
        <v>8</v>
      </c>
    </row>
    <row r="495" spans="1:11" x14ac:dyDescent="0.2">
      <c r="A495">
        <v>3</v>
      </c>
      <c r="B495" t="s">
        <v>545</v>
      </c>
      <c r="C495" t="s">
        <v>362</v>
      </c>
      <c r="D495" t="s">
        <v>6</v>
      </c>
      <c r="E495" t="s">
        <v>296</v>
      </c>
      <c r="F495" t="s">
        <v>6</v>
      </c>
      <c r="G495" t="s">
        <v>217</v>
      </c>
      <c r="H495" t="s">
        <v>308</v>
      </c>
      <c r="I495" t="s">
        <v>532</v>
      </c>
      <c r="J495" s="6">
        <v>8.39</v>
      </c>
      <c r="K495" s="6">
        <v>5.9</v>
      </c>
    </row>
    <row r="496" spans="1:11" x14ac:dyDescent="0.2">
      <c r="A496">
        <v>3</v>
      </c>
      <c r="B496" t="s">
        <v>545</v>
      </c>
      <c r="C496" t="s">
        <v>405</v>
      </c>
      <c r="D496" t="s">
        <v>4</v>
      </c>
      <c r="E496" t="s">
        <v>358</v>
      </c>
      <c r="F496" t="s">
        <v>16</v>
      </c>
      <c r="G496" t="s">
        <v>222</v>
      </c>
      <c r="H496" t="s">
        <v>308</v>
      </c>
      <c r="I496" t="s">
        <v>532</v>
      </c>
      <c r="J496" s="6">
        <v>0</v>
      </c>
      <c r="K496" s="6">
        <v>0</v>
      </c>
    </row>
    <row r="497" spans="1:11" x14ac:dyDescent="0.2">
      <c r="A497">
        <v>3</v>
      </c>
      <c r="B497" t="s">
        <v>545</v>
      </c>
      <c r="C497" t="s">
        <v>376</v>
      </c>
      <c r="D497" t="s">
        <v>6</v>
      </c>
      <c r="E497" t="s">
        <v>299</v>
      </c>
      <c r="F497" t="s">
        <v>16</v>
      </c>
      <c r="G497" t="s">
        <v>39</v>
      </c>
      <c r="H497" t="s">
        <v>308</v>
      </c>
      <c r="I497" t="s">
        <v>532</v>
      </c>
      <c r="J497" s="6">
        <v>8.9</v>
      </c>
      <c r="K497" s="6">
        <v>2.6</v>
      </c>
    </row>
    <row r="498" spans="1:11" x14ac:dyDescent="0.2">
      <c r="A498">
        <v>3</v>
      </c>
      <c r="B498" t="s">
        <v>545</v>
      </c>
      <c r="C498" t="s">
        <v>371</v>
      </c>
      <c r="D498" t="s">
        <v>6</v>
      </c>
      <c r="E498" t="s">
        <v>297</v>
      </c>
      <c r="F498" t="s">
        <v>6</v>
      </c>
      <c r="G498" t="s">
        <v>149</v>
      </c>
      <c r="H498" t="s">
        <v>308</v>
      </c>
      <c r="I498" t="s">
        <v>532</v>
      </c>
      <c r="J498" s="6">
        <v>6.11</v>
      </c>
      <c r="K498" s="6">
        <v>15.2</v>
      </c>
    </row>
    <row r="499" spans="1:11" x14ac:dyDescent="0.2">
      <c r="A499">
        <v>3</v>
      </c>
      <c r="B499" t="s">
        <v>545</v>
      </c>
      <c r="C499" t="s">
        <v>416</v>
      </c>
      <c r="D499" t="s">
        <v>5</v>
      </c>
      <c r="E499" t="s">
        <v>296</v>
      </c>
      <c r="F499" t="s">
        <v>11</v>
      </c>
      <c r="G499" t="s">
        <v>335</v>
      </c>
      <c r="H499" t="s">
        <v>308</v>
      </c>
      <c r="I499" t="s">
        <v>532</v>
      </c>
      <c r="J499" s="6">
        <v>7.67</v>
      </c>
      <c r="K499" s="6">
        <v>3.1</v>
      </c>
    </row>
    <row r="500" spans="1:11" x14ac:dyDescent="0.2">
      <c r="A500">
        <v>3</v>
      </c>
      <c r="B500" t="s">
        <v>545</v>
      </c>
      <c r="C500" t="s">
        <v>398</v>
      </c>
      <c r="D500" t="s">
        <v>6</v>
      </c>
      <c r="E500" t="s">
        <v>283</v>
      </c>
      <c r="F500" t="s">
        <v>16</v>
      </c>
      <c r="G500" t="s">
        <v>235</v>
      </c>
      <c r="H500" t="s">
        <v>308</v>
      </c>
      <c r="I500" t="s">
        <v>532</v>
      </c>
      <c r="J500" s="6">
        <v>8.3800000000000008</v>
      </c>
      <c r="K500" s="6">
        <v>1.1000000000000001</v>
      </c>
    </row>
    <row r="501" spans="1:11" x14ac:dyDescent="0.2">
      <c r="A501">
        <v>3</v>
      </c>
      <c r="B501" t="s">
        <v>545</v>
      </c>
      <c r="C501" t="s">
        <v>386</v>
      </c>
      <c r="D501" t="s">
        <v>5</v>
      </c>
      <c r="E501" t="s">
        <v>297</v>
      </c>
      <c r="F501" t="s">
        <v>16</v>
      </c>
      <c r="G501" t="s">
        <v>205</v>
      </c>
      <c r="H501" t="s">
        <v>308</v>
      </c>
      <c r="I501" t="s">
        <v>532</v>
      </c>
      <c r="J501" s="6">
        <v>8.19</v>
      </c>
      <c r="K501" s="6">
        <v>0.5</v>
      </c>
    </row>
    <row r="502" spans="1:11" x14ac:dyDescent="0.2">
      <c r="A502">
        <v>3</v>
      </c>
      <c r="B502" t="s">
        <v>545</v>
      </c>
      <c r="C502" t="s">
        <v>372</v>
      </c>
      <c r="D502" t="s">
        <v>12</v>
      </c>
      <c r="E502" t="s">
        <v>299</v>
      </c>
      <c r="F502" t="s">
        <v>12</v>
      </c>
      <c r="G502" t="s">
        <v>127</v>
      </c>
      <c r="H502" t="s">
        <v>308</v>
      </c>
      <c r="I502" t="s">
        <v>532</v>
      </c>
      <c r="J502" s="6">
        <v>6.11</v>
      </c>
      <c r="K502" s="6">
        <v>4</v>
      </c>
    </row>
    <row r="503" spans="1:11" x14ac:dyDescent="0.2">
      <c r="A503">
        <v>3</v>
      </c>
      <c r="B503" t="s">
        <v>545</v>
      </c>
      <c r="C503" t="s">
        <v>439</v>
      </c>
      <c r="D503" t="s">
        <v>4</v>
      </c>
      <c r="E503" t="s">
        <v>286</v>
      </c>
      <c r="F503" t="s">
        <v>4</v>
      </c>
      <c r="G503" t="s">
        <v>202</v>
      </c>
      <c r="H503" t="s">
        <v>308</v>
      </c>
      <c r="I503" t="s">
        <v>532</v>
      </c>
      <c r="J503" s="6">
        <v>16.09</v>
      </c>
      <c r="K503" s="6">
        <v>11.68</v>
      </c>
    </row>
    <row r="504" spans="1:11" x14ac:dyDescent="0.2">
      <c r="A504">
        <v>3</v>
      </c>
      <c r="B504" t="s">
        <v>545</v>
      </c>
      <c r="C504" t="s">
        <v>446</v>
      </c>
      <c r="D504" t="s">
        <v>9</v>
      </c>
      <c r="E504" t="s">
        <v>286</v>
      </c>
      <c r="F504" t="s">
        <v>9</v>
      </c>
      <c r="G504" t="s">
        <v>40</v>
      </c>
      <c r="H504" t="s">
        <v>308</v>
      </c>
      <c r="I504" t="s">
        <v>532</v>
      </c>
      <c r="J504" s="6">
        <v>8.58</v>
      </c>
      <c r="K504" s="6">
        <v>4.5</v>
      </c>
    </row>
    <row r="505" spans="1:11" x14ac:dyDescent="0.2">
      <c r="A505">
        <v>3</v>
      </c>
      <c r="B505" t="s">
        <v>545</v>
      </c>
      <c r="C505" t="s">
        <v>429</v>
      </c>
      <c r="D505" t="s">
        <v>13</v>
      </c>
      <c r="E505" t="s">
        <v>296</v>
      </c>
      <c r="F505" t="s">
        <v>13</v>
      </c>
      <c r="G505" t="s">
        <v>280</v>
      </c>
      <c r="H505" t="s">
        <v>308</v>
      </c>
      <c r="I505" t="s">
        <v>532</v>
      </c>
      <c r="J505" s="6">
        <v>7.91</v>
      </c>
      <c r="K505" s="6">
        <v>10</v>
      </c>
    </row>
    <row r="506" spans="1:11" x14ac:dyDescent="0.2">
      <c r="A506">
        <v>3</v>
      </c>
      <c r="B506" t="s">
        <v>308</v>
      </c>
      <c r="C506" t="s">
        <v>363</v>
      </c>
      <c r="D506" t="s">
        <v>6</v>
      </c>
      <c r="E506" t="s">
        <v>288</v>
      </c>
      <c r="F506" t="s">
        <v>6</v>
      </c>
      <c r="G506" t="s">
        <v>77</v>
      </c>
      <c r="H506" t="s">
        <v>581</v>
      </c>
      <c r="I506" t="s">
        <v>533</v>
      </c>
      <c r="J506" s="6">
        <v>16.21</v>
      </c>
      <c r="K506" s="6">
        <v>9.9</v>
      </c>
    </row>
    <row r="507" spans="1:11" x14ac:dyDescent="0.2">
      <c r="A507">
        <v>3</v>
      </c>
      <c r="B507" t="s">
        <v>308</v>
      </c>
      <c r="C507" t="s">
        <v>79</v>
      </c>
      <c r="D507" t="s">
        <v>6</v>
      </c>
      <c r="E507" t="s">
        <v>62</v>
      </c>
      <c r="F507" t="s">
        <v>11</v>
      </c>
      <c r="G507" t="s">
        <v>29</v>
      </c>
      <c r="H507" t="s">
        <v>581</v>
      </c>
      <c r="I507" t="s">
        <v>533</v>
      </c>
      <c r="J507" s="6">
        <v>0</v>
      </c>
      <c r="K507" s="6">
        <v>0</v>
      </c>
    </row>
    <row r="508" spans="1:11" x14ac:dyDescent="0.2">
      <c r="A508">
        <v>3</v>
      </c>
      <c r="B508" t="s">
        <v>308</v>
      </c>
      <c r="C508" t="s">
        <v>420</v>
      </c>
      <c r="D508" t="s">
        <v>5</v>
      </c>
      <c r="E508" t="s">
        <v>360</v>
      </c>
      <c r="F508" t="s">
        <v>5</v>
      </c>
      <c r="G508" t="s">
        <v>327</v>
      </c>
      <c r="H508" t="s">
        <v>581</v>
      </c>
      <c r="I508" t="s">
        <v>533</v>
      </c>
      <c r="J508" s="6">
        <v>10.15</v>
      </c>
      <c r="K508" s="6">
        <v>16</v>
      </c>
    </row>
    <row r="509" spans="1:11" x14ac:dyDescent="0.2">
      <c r="A509">
        <v>3</v>
      </c>
      <c r="B509" t="s">
        <v>308</v>
      </c>
      <c r="C509" t="s">
        <v>351</v>
      </c>
      <c r="D509" t="s">
        <v>5</v>
      </c>
      <c r="E509" t="s">
        <v>292</v>
      </c>
      <c r="F509" t="s">
        <v>5</v>
      </c>
      <c r="G509" t="s">
        <v>496</v>
      </c>
      <c r="H509" t="s">
        <v>581</v>
      </c>
      <c r="I509" t="s">
        <v>533</v>
      </c>
      <c r="J509" s="6">
        <v>11.28</v>
      </c>
      <c r="K509" s="6">
        <v>0.7</v>
      </c>
    </row>
    <row r="510" spans="1:11" x14ac:dyDescent="0.2">
      <c r="A510">
        <v>3</v>
      </c>
      <c r="B510" t="s">
        <v>308</v>
      </c>
      <c r="C510" t="s">
        <v>359</v>
      </c>
      <c r="D510" t="s">
        <v>6</v>
      </c>
      <c r="E510" t="s">
        <v>360</v>
      </c>
      <c r="F510" t="s">
        <v>6</v>
      </c>
      <c r="G510" t="s">
        <v>342</v>
      </c>
      <c r="H510" t="s">
        <v>581</v>
      </c>
      <c r="I510" t="s">
        <v>533</v>
      </c>
      <c r="J510" s="6">
        <v>12.36</v>
      </c>
      <c r="K510" s="6">
        <v>11.5</v>
      </c>
    </row>
    <row r="511" spans="1:11" x14ac:dyDescent="0.2">
      <c r="A511">
        <v>3</v>
      </c>
      <c r="B511" t="s">
        <v>308</v>
      </c>
      <c r="C511" t="s">
        <v>393</v>
      </c>
      <c r="D511" t="s">
        <v>5</v>
      </c>
      <c r="E511" t="s">
        <v>289</v>
      </c>
      <c r="F511" t="s">
        <v>11</v>
      </c>
      <c r="G511" t="s">
        <v>226</v>
      </c>
      <c r="H511" t="s">
        <v>581</v>
      </c>
      <c r="I511" t="s">
        <v>533</v>
      </c>
      <c r="J511" s="6">
        <v>0</v>
      </c>
      <c r="K511" s="6">
        <v>0</v>
      </c>
    </row>
    <row r="512" spans="1:11" x14ac:dyDescent="0.2">
      <c r="A512">
        <v>3</v>
      </c>
      <c r="B512" t="s">
        <v>308</v>
      </c>
      <c r="C512" t="s">
        <v>102</v>
      </c>
      <c r="D512" t="s">
        <v>5</v>
      </c>
      <c r="E512" t="s">
        <v>24</v>
      </c>
      <c r="F512" t="s">
        <v>16</v>
      </c>
      <c r="G512" t="s">
        <v>43</v>
      </c>
      <c r="H512" t="s">
        <v>581</v>
      </c>
      <c r="I512" t="s">
        <v>533</v>
      </c>
      <c r="J512" s="6">
        <v>0</v>
      </c>
      <c r="K512" s="6">
        <v>0</v>
      </c>
    </row>
    <row r="513" spans="1:11" x14ac:dyDescent="0.2">
      <c r="A513">
        <v>3</v>
      </c>
      <c r="B513" t="s">
        <v>308</v>
      </c>
      <c r="C513" t="s">
        <v>101</v>
      </c>
      <c r="D513" t="s">
        <v>6</v>
      </c>
      <c r="E513" t="s">
        <v>24</v>
      </c>
      <c r="F513" t="s">
        <v>11</v>
      </c>
      <c r="G513" t="s">
        <v>312</v>
      </c>
      <c r="H513" t="s">
        <v>581</v>
      </c>
      <c r="I513" t="s">
        <v>533</v>
      </c>
      <c r="J513" s="6">
        <v>9.5</v>
      </c>
      <c r="K513" s="6">
        <v>18.5</v>
      </c>
    </row>
    <row r="514" spans="1:11" x14ac:dyDescent="0.2">
      <c r="A514">
        <v>3</v>
      </c>
      <c r="B514" t="s">
        <v>308</v>
      </c>
      <c r="C514" t="s">
        <v>304</v>
      </c>
      <c r="D514" t="s">
        <v>9</v>
      </c>
      <c r="E514" t="s">
        <v>46</v>
      </c>
      <c r="F514" t="s">
        <v>11</v>
      </c>
      <c r="G514" t="s">
        <v>162</v>
      </c>
      <c r="H514" t="s">
        <v>581</v>
      </c>
      <c r="I514" t="s">
        <v>533</v>
      </c>
      <c r="J514" s="6">
        <v>9.93</v>
      </c>
      <c r="K514" s="6">
        <v>2.2999999999999998</v>
      </c>
    </row>
    <row r="515" spans="1:11" x14ac:dyDescent="0.2">
      <c r="A515">
        <v>3</v>
      </c>
      <c r="B515" t="s">
        <v>308</v>
      </c>
      <c r="C515" t="s">
        <v>419</v>
      </c>
      <c r="D515" t="s">
        <v>9</v>
      </c>
      <c r="E515" t="s">
        <v>283</v>
      </c>
      <c r="F515" t="s">
        <v>9</v>
      </c>
      <c r="G515" t="s">
        <v>189</v>
      </c>
      <c r="H515" t="s">
        <v>581</v>
      </c>
      <c r="I515" t="s">
        <v>533</v>
      </c>
      <c r="J515" s="6">
        <v>9.39</v>
      </c>
      <c r="K515" s="6">
        <v>2.8</v>
      </c>
    </row>
    <row r="516" spans="1:11" x14ac:dyDescent="0.2">
      <c r="A516">
        <v>3</v>
      </c>
      <c r="B516" t="s">
        <v>308</v>
      </c>
      <c r="C516" t="s">
        <v>83</v>
      </c>
      <c r="D516" t="s">
        <v>4</v>
      </c>
      <c r="E516" t="s">
        <v>25</v>
      </c>
      <c r="F516" t="s">
        <v>4</v>
      </c>
      <c r="G516" t="s">
        <v>82</v>
      </c>
      <c r="H516" t="s">
        <v>581</v>
      </c>
      <c r="I516" t="s">
        <v>533</v>
      </c>
      <c r="J516" s="6">
        <v>19.63</v>
      </c>
      <c r="K516" s="6">
        <v>15.94</v>
      </c>
    </row>
    <row r="517" spans="1:11" x14ac:dyDescent="0.2">
      <c r="A517">
        <v>3</v>
      </c>
      <c r="B517" t="s">
        <v>308</v>
      </c>
      <c r="C517" t="s">
        <v>59</v>
      </c>
      <c r="D517" t="s">
        <v>4</v>
      </c>
      <c r="E517" t="s">
        <v>24</v>
      </c>
      <c r="F517" t="s">
        <v>16</v>
      </c>
      <c r="G517" t="s">
        <v>233</v>
      </c>
      <c r="H517" t="s">
        <v>581</v>
      </c>
      <c r="I517" t="s">
        <v>533</v>
      </c>
      <c r="J517" s="6">
        <v>17.28</v>
      </c>
      <c r="K517" s="6">
        <v>18.48</v>
      </c>
    </row>
    <row r="518" spans="1:11" x14ac:dyDescent="0.2">
      <c r="A518">
        <v>3</v>
      </c>
      <c r="B518" t="s">
        <v>308</v>
      </c>
      <c r="C518" t="s">
        <v>160</v>
      </c>
      <c r="D518" t="s">
        <v>12</v>
      </c>
      <c r="E518" t="s">
        <v>25</v>
      </c>
      <c r="F518" t="s">
        <v>12</v>
      </c>
      <c r="G518" t="s">
        <v>159</v>
      </c>
      <c r="H518" t="s">
        <v>581</v>
      </c>
      <c r="I518" t="s">
        <v>533</v>
      </c>
      <c r="J518" s="6">
        <v>6.32</v>
      </c>
      <c r="K518" s="6">
        <v>7</v>
      </c>
    </row>
    <row r="519" spans="1:11" x14ac:dyDescent="0.2">
      <c r="A519">
        <v>3</v>
      </c>
      <c r="B519" t="s">
        <v>308</v>
      </c>
      <c r="C519" t="s">
        <v>21</v>
      </c>
      <c r="D519" t="s">
        <v>6</v>
      </c>
      <c r="E519" t="s">
        <v>124</v>
      </c>
      <c r="F519" t="s">
        <v>16</v>
      </c>
      <c r="G519" t="s">
        <v>210</v>
      </c>
      <c r="H519" t="s">
        <v>581</v>
      </c>
      <c r="I519" t="s">
        <v>533</v>
      </c>
      <c r="J519" s="6">
        <v>0</v>
      </c>
      <c r="K519" s="6">
        <v>0</v>
      </c>
    </row>
    <row r="520" spans="1:11" x14ac:dyDescent="0.2">
      <c r="A520">
        <v>3</v>
      </c>
      <c r="B520" t="s">
        <v>308</v>
      </c>
      <c r="C520" t="s">
        <v>305</v>
      </c>
      <c r="D520" t="s">
        <v>13</v>
      </c>
      <c r="E520" t="s">
        <v>24</v>
      </c>
      <c r="F520" t="s">
        <v>13</v>
      </c>
      <c r="G520" t="s">
        <v>534</v>
      </c>
      <c r="H520" t="s">
        <v>581</v>
      </c>
      <c r="I520" t="s">
        <v>533</v>
      </c>
      <c r="J520" s="6">
        <v>9.2100000000000009</v>
      </c>
      <c r="K520" s="6">
        <v>1</v>
      </c>
    </row>
    <row r="521" spans="1:11" x14ac:dyDescent="0.2">
      <c r="A521">
        <v>3</v>
      </c>
      <c r="B521" t="s">
        <v>308</v>
      </c>
      <c r="C521" t="s">
        <v>353</v>
      </c>
      <c r="D521" t="s">
        <v>5</v>
      </c>
      <c r="E521" t="s">
        <v>299</v>
      </c>
      <c r="F521" t="s">
        <v>16</v>
      </c>
      <c r="G521" t="s">
        <v>535</v>
      </c>
      <c r="H521" t="s">
        <v>581</v>
      </c>
      <c r="I521" t="s">
        <v>533</v>
      </c>
      <c r="J521" s="6">
        <v>0</v>
      </c>
      <c r="K521" s="6">
        <v>0</v>
      </c>
    </row>
    <row r="522" spans="1:11" x14ac:dyDescent="0.2">
      <c r="A522">
        <v>3</v>
      </c>
      <c r="B522" t="s">
        <v>463</v>
      </c>
      <c r="C522" t="s">
        <v>382</v>
      </c>
      <c r="D522" t="s">
        <v>6</v>
      </c>
      <c r="E522" t="s">
        <v>298</v>
      </c>
      <c r="F522" t="s">
        <v>6</v>
      </c>
      <c r="G522" t="s">
        <v>113</v>
      </c>
      <c r="H522" t="s">
        <v>499</v>
      </c>
      <c r="I522" t="s">
        <v>536</v>
      </c>
      <c r="J522" s="6">
        <v>15.29</v>
      </c>
      <c r="K522" s="6">
        <v>20.3</v>
      </c>
    </row>
    <row r="523" spans="1:11" x14ac:dyDescent="0.2">
      <c r="A523">
        <v>3</v>
      </c>
      <c r="B523" t="s">
        <v>463</v>
      </c>
      <c r="C523" t="s">
        <v>18</v>
      </c>
      <c r="D523" t="s">
        <v>5</v>
      </c>
      <c r="E523" t="s">
        <v>124</v>
      </c>
      <c r="F523" t="s">
        <v>5</v>
      </c>
      <c r="G523" t="s">
        <v>17</v>
      </c>
      <c r="H523" t="s">
        <v>499</v>
      </c>
      <c r="I523" t="s">
        <v>536</v>
      </c>
      <c r="J523" s="6">
        <v>14.61</v>
      </c>
      <c r="K523" s="6">
        <v>7</v>
      </c>
    </row>
    <row r="524" spans="1:11" x14ac:dyDescent="0.2">
      <c r="A524">
        <v>3</v>
      </c>
      <c r="B524" t="s">
        <v>463</v>
      </c>
      <c r="C524" t="s">
        <v>377</v>
      </c>
      <c r="D524" t="s">
        <v>6</v>
      </c>
      <c r="E524" t="s">
        <v>285</v>
      </c>
      <c r="F524" t="s">
        <v>6</v>
      </c>
      <c r="G524" t="s">
        <v>157</v>
      </c>
      <c r="H524" t="s">
        <v>499</v>
      </c>
      <c r="I524" t="s">
        <v>536</v>
      </c>
      <c r="J524" s="6">
        <v>11.37</v>
      </c>
      <c r="K524" s="6">
        <v>11.7</v>
      </c>
    </row>
    <row r="525" spans="1:11" x14ac:dyDescent="0.2">
      <c r="A525">
        <v>3</v>
      </c>
      <c r="B525" t="s">
        <v>463</v>
      </c>
      <c r="C525" t="s">
        <v>370</v>
      </c>
      <c r="D525" t="s">
        <v>6</v>
      </c>
      <c r="E525" t="s">
        <v>294</v>
      </c>
      <c r="F525" t="s">
        <v>11</v>
      </c>
      <c r="G525" t="s">
        <v>68</v>
      </c>
      <c r="H525" t="s">
        <v>499</v>
      </c>
      <c r="I525" t="s">
        <v>536</v>
      </c>
      <c r="J525" s="6">
        <v>10.58</v>
      </c>
      <c r="K525" s="6">
        <v>5.4</v>
      </c>
    </row>
    <row r="526" spans="1:11" x14ac:dyDescent="0.2">
      <c r="A526">
        <v>3</v>
      </c>
      <c r="B526" t="s">
        <v>463</v>
      </c>
      <c r="C526" t="s">
        <v>61</v>
      </c>
      <c r="D526" t="s">
        <v>5</v>
      </c>
      <c r="E526" t="s">
        <v>62</v>
      </c>
      <c r="F526" t="s">
        <v>5</v>
      </c>
      <c r="G526" t="s">
        <v>311</v>
      </c>
      <c r="H526" t="s">
        <v>499</v>
      </c>
      <c r="I526" t="s">
        <v>536</v>
      </c>
      <c r="J526" s="6">
        <v>9.59</v>
      </c>
      <c r="K526" s="6">
        <v>3.4</v>
      </c>
    </row>
    <row r="527" spans="1:11" x14ac:dyDescent="0.2">
      <c r="A527">
        <v>3</v>
      </c>
      <c r="B527" t="s">
        <v>463</v>
      </c>
      <c r="C527" t="s">
        <v>353</v>
      </c>
      <c r="D527" t="s">
        <v>5</v>
      </c>
      <c r="E527" t="s">
        <v>299</v>
      </c>
      <c r="F527" t="s">
        <v>11</v>
      </c>
      <c r="G527" t="s">
        <v>229</v>
      </c>
      <c r="H527" t="s">
        <v>499</v>
      </c>
      <c r="I527" t="s">
        <v>536</v>
      </c>
      <c r="J527" s="6">
        <v>0</v>
      </c>
      <c r="K527" s="6">
        <v>0</v>
      </c>
    </row>
    <row r="528" spans="1:11" x14ac:dyDescent="0.2">
      <c r="A528">
        <v>3</v>
      </c>
      <c r="B528" t="s">
        <v>463</v>
      </c>
      <c r="C528" t="s">
        <v>109</v>
      </c>
      <c r="D528" t="s">
        <v>5</v>
      </c>
      <c r="E528" t="s">
        <v>123</v>
      </c>
      <c r="F528" t="s">
        <v>16</v>
      </c>
      <c r="G528" t="s">
        <v>200</v>
      </c>
      <c r="H528" t="s">
        <v>499</v>
      </c>
      <c r="I528" t="s">
        <v>536</v>
      </c>
      <c r="J528" s="6">
        <v>8.58</v>
      </c>
      <c r="K528" s="6">
        <v>2.5</v>
      </c>
    </row>
    <row r="529" spans="1:11" x14ac:dyDescent="0.2">
      <c r="A529">
        <v>3</v>
      </c>
      <c r="B529" t="s">
        <v>463</v>
      </c>
      <c r="C529" t="s">
        <v>79</v>
      </c>
      <c r="D529" t="s">
        <v>6</v>
      </c>
      <c r="E529" t="s">
        <v>62</v>
      </c>
      <c r="F529" t="s">
        <v>11</v>
      </c>
      <c r="G529" t="s">
        <v>161</v>
      </c>
      <c r="H529" t="s">
        <v>499</v>
      </c>
      <c r="I529" t="s">
        <v>536</v>
      </c>
      <c r="J529" s="6">
        <v>9.51</v>
      </c>
      <c r="K529" s="6">
        <v>6.4</v>
      </c>
    </row>
    <row r="530" spans="1:11" x14ac:dyDescent="0.2">
      <c r="A530">
        <v>3</v>
      </c>
      <c r="B530" t="s">
        <v>463</v>
      </c>
      <c r="C530" t="s">
        <v>48</v>
      </c>
      <c r="D530" t="s">
        <v>6</v>
      </c>
      <c r="E530" t="s">
        <v>34</v>
      </c>
      <c r="F530" t="s">
        <v>11</v>
      </c>
      <c r="G530" t="s">
        <v>466</v>
      </c>
      <c r="H530" t="s">
        <v>499</v>
      </c>
      <c r="I530" t="s">
        <v>536</v>
      </c>
      <c r="J530" s="6">
        <v>0</v>
      </c>
      <c r="K530" s="6">
        <v>0</v>
      </c>
    </row>
    <row r="531" spans="1:11" x14ac:dyDescent="0.2">
      <c r="A531">
        <v>3</v>
      </c>
      <c r="B531" t="s">
        <v>463</v>
      </c>
      <c r="C531" t="s">
        <v>19</v>
      </c>
      <c r="D531" t="s">
        <v>4</v>
      </c>
      <c r="E531" t="s">
        <v>52</v>
      </c>
      <c r="F531" t="s">
        <v>4</v>
      </c>
      <c r="G531" t="s">
        <v>192</v>
      </c>
      <c r="H531" t="s">
        <v>499</v>
      </c>
      <c r="I531" t="s">
        <v>536</v>
      </c>
      <c r="J531" s="6">
        <v>20.81</v>
      </c>
      <c r="K531" s="6">
        <v>31.28</v>
      </c>
    </row>
    <row r="532" spans="1:11" x14ac:dyDescent="0.2">
      <c r="A532">
        <v>3</v>
      </c>
      <c r="B532" t="s">
        <v>463</v>
      </c>
      <c r="C532" t="s">
        <v>352</v>
      </c>
      <c r="D532" t="s">
        <v>6</v>
      </c>
      <c r="E532" t="s">
        <v>287</v>
      </c>
      <c r="F532" t="s">
        <v>16</v>
      </c>
      <c r="G532" t="s">
        <v>467</v>
      </c>
      <c r="H532" t="s">
        <v>499</v>
      </c>
      <c r="I532" t="s">
        <v>536</v>
      </c>
      <c r="J532" s="6">
        <v>0</v>
      </c>
      <c r="K532" s="6">
        <v>0</v>
      </c>
    </row>
    <row r="533" spans="1:11" x14ac:dyDescent="0.2">
      <c r="A533">
        <v>3</v>
      </c>
      <c r="B533" t="s">
        <v>463</v>
      </c>
      <c r="C533" t="s">
        <v>349</v>
      </c>
      <c r="D533" t="s">
        <v>6</v>
      </c>
      <c r="E533" t="s">
        <v>284</v>
      </c>
      <c r="F533" t="s">
        <v>16</v>
      </c>
      <c r="G533" t="s">
        <v>248</v>
      </c>
      <c r="H533" t="s">
        <v>499</v>
      </c>
      <c r="I533" t="s">
        <v>536</v>
      </c>
      <c r="J533" s="6">
        <v>8.24</v>
      </c>
      <c r="K533" s="6">
        <v>4.2</v>
      </c>
    </row>
    <row r="534" spans="1:11" x14ac:dyDescent="0.2">
      <c r="A534">
        <v>3</v>
      </c>
      <c r="B534" t="s">
        <v>463</v>
      </c>
      <c r="C534" t="s">
        <v>97</v>
      </c>
      <c r="D534" t="s">
        <v>12</v>
      </c>
      <c r="E534" t="s">
        <v>52</v>
      </c>
      <c r="F534" t="s">
        <v>12</v>
      </c>
      <c r="G534" t="s">
        <v>96</v>
      </c>
      <c r="H534" t="s">
        <v>499</v>
      </c>
      <c r="I534" t="s">
        <v>536</v>
      </c>
      <c r="J534" s="6">
        <v>7.22</v>
      </c>
      <c r="K534" s="6">
        <v>0</v>
      </c>
    </row>
    <row r="535" spans="1:11" x14ac:dyDescent="0.2">
      <c r="A535">
        <v>3</v>
      </c>
      <c r="B535" t="s">
        <v>463</v>
      </c>
      <c r="C535" t="s">
        <v>450</v>
      </c>
      <c r="D535" t="s">
        <v>9</v>
      </c>
      <c r="E535" t="s">
        <v>125</v>
      </c>
      <c r="F535" t="s">
        <v>9</v>
      </c>
      <c r="G535" t="s">
        <v>459</v>
      </c>
      <c r="H535" t="s">
        <v>499</v>
      </c>
      <c r="I535" t="s">
        <v>536</v>
      </c>
      <c r="J535" s="6">
        <v>6.94</v>
      </c>
      <c r="K535" s="6">
        <v>0</v>
      </c>
    </row>
    <row r="536" spans="1:11" x14ac:dyDescent="0.2">
      <c r="A536">
        <v>3</v>
      </c>
      <c r="B536" t="s">
        <v>463</v>
      </c>
      <c r="C536" t="s">
        <v>15</v>
      </c>
      <c r="D536" t="s">
        <v>13</v>
      </c>
      <c r="E536" t="s">
        <v>25</v>
      </c>
      <c r="F536" t="s">
        <v>13</v>
      </c>
      <c r="G536" t="s">
        <v>14</v>
      </c>
      <c r="H536" t="s">
        <v>499</v>
      </c>
      <c r="I536" t="s">
        <v>536</v>
      </c>
      <c r="J536" s="6">
        <v>9.0500000000000007</v>
      </c>
      <c r="K536" s="6">
        <v>5</v>
      </c>
    </row>
    <row r="537" spans="1:11" x14ac:dyDescent="0.2">
      <c r="A537">
        <v>3</v>
      </c>
      <c r="B537" t="s">
        <v>463</v>
      </c>
      <c r="C537" t="s">
        <v>133</v>
      </c>
      <c r="D537" t="s">
        <v>9</v>
      </c>
      <c r="E537" t="s">
        <v>124</v>
      </c>
      <c r="F537" t="s">
        <v>16</v>
      </c>
      <c r="G537" t="s">
        <v>537</v>
      </c>
      <c r="H537" t="s">
        <v>499</v>
      </c>
      <c r="I537" t="s">
        <v>536</v>
      </c>
      <c r="J537" s="6">
        <v>6.67</v>
      </c>
      <c r="K537" s="6">
        <v>20</v>
      </c>
    </row>
    <row r="538" spans="1:11" x14ac:dyDescent="0.2">
      <c r="A538">
        <v>3</v>
      </c>
      <c r="B538" t="s">
        <v>499</v>
      </c>
      <c r="C538" t="s">
        <v>395</v>
      </c>
      <c r="D538" t="s">
        <v>6</v>
      </c>
      <c r="E538" t="s">
        <v>293</v>
      </c>
      <c r="F538" t="s">
        <v>6</v>
      </c>
      <c r="G538" t="s">
        <v>38</v>
      </c>
      <c r="H538" t="s">
        <v>538</v>
      </c>
      <c r="I538" t="s">
        <v>539</v>
      </c>
      <c r="J538" s="6">
        <v>14.79</v>
      </c>
      <c r="K538" s="6">
        <v>4.2</v>
      </c>
    </row>
    <row r="539" spans="1:11" x14ac:dyDescent="0.2">
      <c r="A539">
        <v>3</v>
      </c>
      <c r="B539" t="s">
        <v>499</v>
      </c>
      <c r="C539" t="s">
        <v>367</v>
      </c>
      <c r="D539" t="s">
        <v>6</v>
      </c>
      <c r="E539" t="s">
        <v>286</v>
      </c>
      <c r="F539" t="s">
        <v>11</v>
      </c>
      <c r="G539" t="s">
        <v>216</v>
      </c>
      <c r="H539" t="s">
        <v>538</v>
      </c>
      <c r="I539" t="s">
        <v>539</v>
      </c>
      <c r="J539" s="6">
        <v>0</v>
      </c>
      <c r="K539" s="6">
        <v>0</v>
      </c>
    </row>
    <row r="540" spans="1:11" x14ac:dyDescent="0.2">
      <c r="A540">
        <v>3</v>
      </c>
      <c r="B540" t="s">
        <v>499</v>
      </c>
      <c r="C540" t="s">
        <v>374</v>
      </c>
      <c r="D540" t="s">
        <v>5</v>
      </c>
      <c r="E540" t="s">
        <v>301</v>
      </c>
      <c r="F540" t="s">
        <v>5</v>
      </c>
      <c r="G540" t="s">
        <v>326</v>
      </c>
      <c r="H540" t="s">
        <v>538</v>
      </c>
      <c r="I540" t="s">
        <v>539</v>
      </c>
      <c r="J540" s="6">
        <v>12.57</v>
      </c>
      <c r="K540" s="6">
        <v>8.9</v>
      </c>
    </row>
    <row r="541" spans="1:11" x14ac:dyDescent="0.2">
      <c r="A541">
        <v>3</v>
      </c>
      <c r="B541" t="s">
        <v>499</v>
      </c>
      <c r="C541" t="s">
        <v>105</v>
      </c>
      <c r="D541" t="s">
        <v>5</v>
      </c>
      <c r="E541" t="s">
        <v>41</v>
      </c>
      <c r="F541" t="s">
        <v>5</v>
      </c>
      <c r="G541" t="s">
        <v>221</v>
      </c>
      <c r="H541" t="s">
        <v>538</v>
      </c>
      <c r="I541" t="s">
        <v>539</v>
      </c>
      <c r="J541" s="6">
        <v>14.2</v>
      </c>
      <c r="K541" s="6">
        <v>6.8</v>
      </c>
    </row>
    <row r="542" spans="1:11" x14ac:dyDescent="0.2">
      <c r="A542">
        <v>3</v>
      </c>
      <c r="B542" t="s">
        <v>499</v>
      </c>
      <c r="C542" t="s">
        <v>366</v>
      </c>
      <c r="D542" t="s">
        <v>4</v>
      </c>
      <c r="E542" t="s">
        <v>296</v>
      </c>
      <c r="F542" t="s">
        <v>11</v>
      </c>
      <c r="G542" t="s">
        <v>197</v>
      </c>
      <c r="H542" t="s">
        <v>538</v>
      </c>
      <c r="I542" t="s">
        <v>539</v>
      </c>
      <c r="J542" s="6">
        <v>0</v>
      </c>
      <c r="K542" s="6">
        <v>0</v>
      </c>
    </row>
    <row r="543" spans="1:11" x14ac:dyDescent="0.2">
      <c r="A543">
        <v>3</v>
      </c>
      <c r="B543" t="s">
        <v>499</v>
      </c>
      <c r="C543" t="s">
        <v>99</v>
      </c>
      <c r="D543" t="s">
        <v>9</v>
      </c>
      <c r="E543" t="s">
        <v>52</v>
      </c>
      <c r="F543" t="s">
        <v>9</v>
      </c>
      <c r="G543" t="s">
        <v>98</v>
      </c>
      <c r="H543" t="s">
        <v>538</v>
      </c>
      <c r="I543" t="s">
        <v>539</v>
      </c>
      <c r="J543" s="6">
        <v>10.53</v>
      </c>
      <c r="K543" s="6">
        <v>23.2</v>
      </c>
    </row>
    <row r="544" spans="1:11" x14ac:dyDescent="0.2">
      <c r="A544">
        <v>3</v>
      </c>
      <c r="B544" t="s">
        <v>499</v>
      </c>
      <c r="C544" t="s">
        <v>437</v>
      </c>
      <c r="D544" t="s">
        <v>13</v>
      </c>
      <c r="E544" t="s">
        <v>285</v>
      </c>
      <c r="F544" t="s">
        <v>13</v>
      </c>
      <c r="G544" t="s">
        <v>228</v>
      </c>
      <c r="H544" t="s">
        <v>538</v>
      </c>
      <c r="I544" t="s">
        <v>539</v>
      </c>
      <c r="J544" s="6">
        <v>9.7200000000000006</v>
      </c>
      <c r="K544" s="6">
        <v>10</v>
      </c>
    </row>
    <row r="545" spans="1:11" x14ac:dyDescent="0.2">
      <c r="A545">
        <v>3</v>
      </c>
      <c r="B545" t="s">
        <v>499</v>
      </c>
      <c r="C545" t="s">
        <v>383</v>
      </c>
      <c r="D545" t="s">
        <v>6</v>
      </c>
      <c r="E545" t="s">
        <v>300</v>
      </c>
      <c r="F545" t="s">
        <v>16</v>
      </c>
      <c r="G545" t="s">
        <v>211</v>
      </c>
      <c r="H545" t="s">
        <v>538</v>
      </c>
      <c r="I545" t="s">
        <v>539</v>
      </c>
      <c r="J545" s="6">
        <v>8.9700000000000006</v>
      </c>
      <c r="K545" s="6">
        <v>20.399999999999999</v>
      </c>
    </row>
    <row r="546" spans="1:11" x14ac:dyDescent="0.2">
      <c r="A546">
        <v>3</v>
      </c>
      <c r="B546" t="s">
        <v>499</v>
      </c>
      <c r="C546" t="s">
        <v>392</v>
      </c>
      <c r="D546" t="s">
        <v>12</v>
      </c>
      <c r="E546" t="s">
        <v>292</v>
      </c>
      <c r="F546" t="s">
        <v>12</v>
      </c>
      <c r="G546" t="s">
        <v>169</v>
      </c>
      <c r="H546" t="s">
        <v>538</v>
      </c>
      <c r="I546" t="s">
        <v>539</v>
      </c>
      <c r="J546" s="6">
        <v>7.32</v>
      </c>
      <c r="K546" s="6">
        <v>4</v>
      </c>
    </row>
    <row r="547" spans="1:11" x14ac:dyDescent="0.2">
      <c r="A547">
        <v>3</v>
      </c>
      <c r="B547" t="s">
        <v>499</v>
      </c>
      <c r="C547" t="s">
        <v>37</v>
      </c>
      <c r="D547" t="s">
        <v>5</v>
      </c>
      <c r="E547" t="s">
        <v>34</v>
      </c>
      <c r="F547" t="s">
        <v>16</v>
      </c>
      <c r="G547" t="s">
        <v>36</v>
      </c>
      <c r="H547" t="s">
        <v>538</v>
      </c>
      <c r="I547" t="s">
        <v>539</v>
      </c>
      <c r="J547" s="6">
        <v>8.58</v>
      </c>
      <c r="K547" s="6">
        <v>4.5999999999999996</v>
      </c>
    </row>
    <row r="548" spans="1:11" x14ac:dyDescent="0.2">
      <c r="A548">
        <v>3</v>
      </c>
      <c r="B548" t="s">
        <v>499</v>
      </c>
      <c r="C548" t="s">
        <v>146</v>
      </c>
      <c r="D548" t="s">
        <v>9</v>
      </c>
      <c r="E548" t="s">
        <v>34</v>
      </c>
      <c r="F548" t="s">
        <v>11</v>
      </c>
      <c r="G548" t="s">
        <v>156</v>
      </c>
      <c r="H548" t="s">
        <v>538</v>
      </c>
      <c r="I548" t="s">
        <v>539</v>
      </c>
      <c r="J548" s="6">
        <v>7.4</v>
      </c>
      <c r="K548" s="6">
        <v>19.3</v>
      </c>
    </row>
    <row r="549" spans="1:11" x14ac:dyDescent="0.2">
      <c r="A549">
        <v>3</v>
      </c>
      <c r="B549" t="s">
        <v>499</v>
      </c>
      <c r="C549" t="s">
        <v>73</v>
      </c>
      <c r="D549" t="s">
        <v>4</v>
      </c>
      <c r="E549" t="s">
        <v>41</v>
      </c>
      <c r="F549" t="s">
        <v>16</v>
      </c>
      <c r="G549" t="s">
        <v>240</v>
      </c>
      <c r="H549" t="s">
        <v>538</v>
      </c>
      <c r="I549" t="s">
        <v>539</v>
      </c>
      <c r="J549" s="6">
        <v>15.6</v>
      </c>
      <c r="K549" s="6">
        <v>11.28</v>
      </c>
    </row>
    <row r="550" spans="1:11" x14ac:dyDescent="0.2">
      <c r="A550">
        <v>3</v>
      </c>
      <c r="B550" t="s">
        <v>499</v>
      </c>
      <c r="C550" t="s">
        <v>381</v>
      </c>
      <c r="D550" t="s">
        <v>5</v>
      </c>
      <c r="E550" t="s">
        <v>295</v>
      </c>
      <c r="F550" t="s">
        <v>16</v>
      </c>
      <c r="G550" t="s">
        <v>145</v>
      </c>
      <c r="H550" t="s">
        <v>538</v>
      </c>
      <c r="I550" t="s">
        <v>539</v>
      </c>
      <c r="J550" s="6">
        <v>5.35</v>
      </c>
      <c r="K550" s="6">
        <v>11</v>
      </c>
    </row>
    <row r="551" spans="1:11" x14ac:dyDescent="0.2">
      <c r="A551">
        <v>3</v>
      </c>
      <c r="B551" t="s">
        <v>499</v>
      </c>
      <c r="C551" t="s">
        <v>367</v>
      </c>
      <c r="D551" t="s">
        <v>6</v>
      </c>
      <c r="E551" t="s">
        <v>286</v>
      </c>
      <c r="F551" t="s">
        <v>11</v>
      </c>
      <c r="G551" t="s">
        <v>334</v>
      </c>
      <c r="H551" t="s">
        <v>538</v>
      </c>
      <c r="I551" t="s">
        <v>539</v>
      </c>
      <c r="J551" s="6">
        <v>7.35</v>
      </c>
      <c r="K551" s="6">
        <v>3.1</v>
      </c>
    </row>
    <row r="552" spans="1:11" x14ac:dyDescent="0.2">
      <c r="A552">
        <v>3</v>
      </c>
      <c r="B552" t="s">
        <v>499</v>
      </c>
      <c r="C552" t="s">
        <v>79</v>
      </c>
      <c r="D552" t="s">
        <v>6</v>
      </c>
      <c r="E552" t="s">
        <v>62</v>
      </c>
      <c r="F552" t="s">
        <v>6</v>
      </c>
      <c r="G552" t="s">
        <v>458</v>
      </c>
      <c r="H552" t="s">
        <v>538</v>
      </c>
      <c r="I552" t="s">
        <v>539</v>
      </c>
      <c r="J552" s="6">
        <v>7.15</v>
      </c>
      <c r="K552" s="6">
        <v>11.7</v>
      </c>
    </row>
    <row r="553" spans="1:11" x14ac:dyDescent="0.2">
      <c r="A553">
        <v>3</v>
      </c>
      <c r="B553" t="s">
        <v>499</v>
      </c>
      <c r="C553" t="s">
        <v>168</v>
      </c>
      <c r="D553" t="s">
        <v>4</v>
      </c>
      <c r="E553" t="s">
        <v>124</v>
      </c>
      <c r="F553" t="s">
        <v>4</v>
      </c>
      <c r="G553" t="s">
        <v>148</v>
      </c>
      <c r="H553" t="s">
        <v>538</v>
      </c>
      <c r="I553" t="s">
        <v>539</v>
      </c>
      <c r="J553" s="6">
        <v>15.15</v>
      </c>
      <c r="K553" s="6">
        <v>26.04</v>
      </c>
    </row>
    <row r="554" spans="1:11" x14ac:dyDescent="0.2">
      <c r="A554">
        <v>3</v>
      </c>
      <c r="B554" t="s">
        <v>468</v>
      </c>
      <c r="C554" t="s">
        <v>415</v>
      </c>
      <c r="D554" t="s">
        <v>5</v>
      </c>
      <c r="E554" t="s">
        <v>283</v>
      </c>
      <c r="F554" t="s">
        <v>5</v>
      </c>
      <c r="G554" t="s">
        <v>348</v>
      </c>
      <c r="H554" t="s">
        <v>483</v>
      </c>
      <c r="I554" t="s">
        <v>540</v>
      </c>
      <c r="J554" s="6">
        <v>15.9</v>
      </c>
      <c r="K554" s="6">
        <v>19.399999999999999</v>
      </c>
    </row>
    <row r="555" spans="1:11" x14ac:dyDescent="0.2">
      <c r="A555">
        <v>3</v>
      </c>
      <c r="B555" t="s">
        <v>468</v>
      </c>
      <c r="C555" t="s">
        <v>409</v>
      </c>
      <c r="D555" t="s">
        <v>4</v>
      </c>
      <c r="E555" t="s">
        <v>283</v>
      </c>
      <c r="F555" t="s">
        <v>4</v>
      </c>
      <c r="G555" t="s">
        <v>49</v>
      </c>
      <c r="H555" t="s">
        <v>483</v>
      </c>
      <c r="I555" t="s">
        <v>540</v>
      </c>
      <c r="J555" s="6">
        <v>23.55</v>
      </c>
      <c r="K555" s="6">
        <v>16.96</v>
      </c>
    </row>
    <row r="556" spans="1:11" x14ac:dyDescent="0.2">
      <c r="A556">
        <v>3</v>
      </c>
      <c r="B556" t="s">
        <v>468</v>
      </c>
      <c r="C556" t="s">
        <v>349</v>
      </c>
      <c r="D556" t="s">
        <v>6</v>
      </c>
      <c r="E556" t="s">
        <v>284</v>
      </c>
      <c r="F556" t="s">
        <v>6</v>
      </c>
      <c r="G556" t="s">
        <v>89</v>
      </c>
      <c r="H556" t="s">
        <v>483</v>
      </c>
      <c r="I556" t="s">
        <v>540</v>
      </c>
      <c r="J556" s="6">
        <v>12.73</v>
      </c>
      <c r="K556" s="6">
        <v>9.5</v>
      </c>
    </row>
    <row r="557" spans="1:11" x14ac:dyDescent="0.2">
      <c r="A557">
        <v>3</v>
      </c>
      <c r="B557" t="s">
        <v>468</v>
      </c>
      <c r="C557" t="s">
        <v>428</v>
      </c>
      <c r="D557" t="s">
        <v>9</v>
      </c>
      <c r="E557" t="s">
        <v>296</v>
      </c>
      <c r="F557" t="s">
        <v>9</v>
      </c>
      <c r="G557" t="s">
        <v>323</v>
      </c>
      <c r="H557" t="s">
        <v>483</v>
      </c>
      <c r="I557" t="s">
        <v>540</v>
      </c>
      <c r="J557" s="6">
        <v>7.74</v>
      </c>
      <c r="K557" s="6">
        <v>5.0999999999999996</v>
      </c>
    </row>
    <row r="558" spans="1:11" x14ac:dyDescent="0.2">
      <c r="A558">
        <v>3</v>
      </c>
      <c r="B558" t="s">
        <v>468</v>
      </c>
      <c r="C558" t="s">
        <v>61</v>
      </c>
      <c r="D558" t="s">
        <v>5</v>
      </c>
      <c r="E558" t="s">
        <v>62</v>
      </c>
      <c r="F558" t="s">
        <v>5</v>
      </c>
      <c r="G558" t="s">
        <v>60</v>
      </c>
      <c r="H558" t="s">
        <v>483</v>
      </c>
      <c r="I558" t="s">
        <v>540</v>
      </c>
      <c r="J558" s="6">
        <v>10.64</v>
      </c>
      <c r="K558" s="6">
        <v>5.3</v>
      </c>
    </row>
    <row r="559" spans="1:11" x14ac:dyDescent="0.2">
      <c r="A559">
        <v>3</v>
      </c>
      <c r="B559" t="s">
        <v>468</v>
      </c>
      <c r="C559" t="s">
        <v>355</v>
      </c>
      <c r="D559" t="s">
        <v>6</v>
      </c>
      <c r="E559" t="s">
        <v>291</v>
      </c>
      <c r="F559" t="s">
        <v>11</v>
      </c>
      <c r="G559" t="s">
        <v>243</v>
      </c>
      <c r="H559" t="s">
        <v>483</v>
      </c>
      <c r="I559" t="s">
        <v>540</v>
      </c>
      <c r="J559" s="6">
        <v>0</v>
      </c>
      <c r="K559" s="6">
        <v>0</v>
      </c>
    </row>
    <row r="560" spans="1:11" x14ac:dyDescent="0.2">
      <c r="A560">
        <v>3</v>
      </c>
      <c r="B560" t="s">
        <v>468</v>
      </c>
      <c r="C560" t="s">
        <v>359</v>
      </c>
      <c r="D560" t="s">
        <v>6</v>
      </c>
      <c r="E560" t="s">
        <v>360</v>
      </c>
      <c r="F560" t="s">
        <v>11</v>
      </c>
      <c r="G560" t="s">
        <v>207</v>
      </c>
      <c r="H560" t="s">
        <v>483</v>
      </c>
      <c r="I560" t="s">
        <v>540</v>
      </c>
      <c r="J560" s="6">
        <v>8.94</v>
      </c>
      <c r="K560" s="6">
        <v>1.3</v>
      </c>
    </row>
    <row r="561" spans="1:11" x14ac:dyDescent="0.2">
      <c r="A561">
        <v>3</v>
      </c>
      <c r="B561" t="s">
        <v>468</v>
      </c>
      <c r="C561" t="s">
        <v>354</v>
      </c>
      <c r="D561" t="s">
        <v>5</v>
      </c>
      <c r="E561" t="s">
        <v>294</v>
      </c>
      <c r="F561" t="s">
        <v>16</v>
      </c>
      <c r="G561" t="s">
        <v>319</v>
      </c>
      <c r="H561" t="s">
        <v>483</v>
      </c>
      <c r="I561" t="s">
        <v>540</v>
      </c>
      <c r="J561" s="6">
        <v>7.63</v>
      </c>
      <c r="K561" s="6">
        <v>7.7</v>
      </c>
    </row>
    <row r="562" spans="1:11" x14ac:dyDescent="0.2">
      <c r="A562">
        <v>3</v>
      </c>
      <c r="B562" t="s">
        <v>468</v>
      </c>
      <c r="C562" t="s">
        <v>8</v>
      </c>
      <c r="D562" t="s">
        <v>6</v>
      </c>
      <c r="E562" t="s">
        <v>52</v>
      </c>
      <c r="F562" t="s">
        <v>11</v>
      </c>
      <c r="G562" t="s">
        <v>471</v>
      </c>
      <c r="H562" t="s">
        <v>483</v>
      </c>
      <c r="I562" t="s">
        <v>540</v>
      </c>
      <c r="J562" s="6">
        <v>0</v>
      </c>
      <c r="K562" s="6">
        <v>0</v>
      </c>
    </row>
    <row r="563" spans="1:11" x14ac:dyDescent="0.2">
      <c r="A563">
        <v>3</v>
      </c>
      <c r="B563" t="s">
        <v>468</v>
      </c>
      <c r="C563" t="s">
        <v>426</v>
      </c>
      <c r="D563" t="s">
        <v>13</v>
      </c>
      <c r="E563" t="s">
        <v>360</v>
      </c>
      <c r="F563" t="s">
        <v>13</v>
      </c>
      <c r="G563" t="s">
        <v>329</v>
      </c>
      <c r="H563" t="s">
        <v>483</v>
      </c>
      <c r="I563" t="s">
        <v>540</v>
      </c>
      <c r="J563" s="6">
        <v>8.68</v>
      </c>
      <c r="K563" s="6">
        <v>4</v>
      </c>
    </row>
    <row r="564" spans="1:11" x14ac:dyDescent="0.2">
      <c r="A564">
        <v>3</v>
      </c>
      <c r="B564" t="s">
        <v>468</v>
      </c>
      <c r="C564" t="s">
        <v>420</v>
      </c>
      <c r="D564" t="s">
        <v>5</v>
      </c>
      <c r="E564" t="s">
        <v>360</v>
      </c>
      <c r="F564" t="s">
        <v>16</v>
      </c>
      <c r="G564" t="s">
        <v>453</v>
      </c>
      <c r="H564" t="s">
        <v>483</v>
      </c>
      <c r="I564" t="s">
        <v>540</v>
      </c>
      <c r="J564" s="6">
        <v>4.2</v>
      </c>
      <c r="K564" s="6">
        <v>9.6999999999999993</v>
      </c>
    </row>
    <row r="565" spans="1:11" x14ac:dyDescent="0.2">
      <c r="A565">
        <v>3</v>
      </c>
      <c r="B565" t="s">
        <v>468</v>
      </c>
      <c r="C565" t="s">
        <v>417</v>
      </c>
      <c r="D565" t="s">
        <v>6</v>
      </c>
      <c r="E565" t="s">
        <v>301</v>
      </c>
      <c r="F565" t="s">
        <v>6</v>
      </c>
      <c r="G565" t="s">
        <v>472</v>
      </c>
      <c r="H565" t="s">
        <v>483</v>
      </c>
      <c r="I565" t="s">
        <v>540</v>
      </c>
      <c r="J565" s="6">
        <v>9.25</v>
      </c>
      <c r="K565" s="6">
        <v>7.1</v>
      </c>
    </row>
    <row r="566" spans="1:11" x14ac:dyDescent="0.2">
      <c r="A566">
        <v>3</v>
      </c>
      <c r="B566" t="s">
        <v>468</v>
      </c>
      <c r="C566" t="s">
        <v>384</v>
      </c>
      <c r="D566" t="s">
        <v>6</v>
      </c>
      <c r="E566" t="s">
        <v>292</v>
      </c>
      <c r="F566" t="s">
        <v>11</v>
      </c>
      <c r="G566" t="s">
        <v>219</v>
      </c>
      <c r="H566" t="s">
        <v>483</v>
      </c>
      <c r="I566" t="s">
        <v>540</v>
      </c>
      <c r="J566" s="6">
        <v>9.4</v>
      </c>
      <c r="K566" s="6">
        <v>2.4</v>
      </c>
    </row>
    <row r="567" spans="1:11" x14ac:dyDescent="0.2">
      <c r="A567">
        <v>3</v>
      </c>
      <c r="B567" t="s">
        <v>468</v>
      </c>
      <c r="C567" t="s">
        <v>279</v>
      </c>
      <c r="D567" t="s">
        <v>12</v>
      </c>
      <c r="E567" t="s">
        <v>46</v>
      </c>
      <c r="F567" t="s">
        <v>12</v>
      </c>
      <c r="G567" t="s">
        <v>447</v>
      </c>
      <c r="H567" t="s">
        <v>483</v>
      </c>
      <c r="I567" t="s">
        <v>540</v>
      </c>
      <c r="J567" s="6">
        <v>6.88</v>
      </c>
      <c r="K567" s="6">
        <v>9</v>
      </c>
    </row>
    <row r="568" spans="1:11" x14ac:dyDescent="0.2">
      <c r="A568">
        <v>3</v>
      </c>
      <c r="B568" t="s">
        <v>468</v>
      </c>
      <c r="C568" t="s">
        <v>351</v>
      </c>
      <c r="D568" t="s">
        <v>5</v>
      </c>
      <c r="E568" t="s">
        <v>292</v>
      </c>
      <c r="F568" t="s">
        <v>16</v>
      </c>
      <c r="G568" t="s">
        <v>247</v>
      </c>
      <c r="H568" t="s">
        <v>483</v>
      </c>
      <c r="I568" t="s">
        <v>540</v>
      </c>
      <c r="J568" s="6">
        <v>8.4499999999999993</v>
      </c>
      <c r="K568" s="6">
        <v>1.4</v>
      </c>
    </row>
    <row r="569" spans="1:11" x14ac:dyDescent="0.2">
      <c r="A569">
        <v>3</v>
      </c>
      <c r="B569" t="s">
        <v>468</v>
      </c>
      <c r="C569" t="s">
        <v>352</v>
      </c>
      <c r="D569" t="s">
        <v>6</v>
      </c>
      <c r="E569" t="s">
        <v>287</v>
      </c>
      <c r="F569" t="s">
        <v>16</v>
      </c>
      <c r="G569" t="s">
        <v>346</v>
      </c>
      <c r="H569" t="s">
        <v>483</v>
      </c>
      <c r="I569" t="s">
        <v>540</v>
      </c>
      <c r="J569" s="6">
        <v>7.98</v>
      </c>
      <c r="K569" s="6">
        <v>8.6</v>
      </c>
    </row>
    <row r="570" spans="1:11" x14ac:dyDescent="0.2">
      <c r="A570">
        <v>3</v>
      </c>
      <c r="B570" t="s">
        <v>483</v>
      </c>
      <c r="C570" t="s">
        <v>381</v>
      </c>
      <c r="D570" t="s">
        <v>5</v>
      </c>
      <c r="E570" t="s">
        <v>295</v>
      </c>
      <c r="F570" t="s">
        <v>5</v>
      </c>
      <c r="G570" t="s">
        <v>186</v>
      </c>
      <c r="H570" t="s">
        <v>474</v>
      </c>
      <c r="I570" t="s">
        <v>541</v>
      </c>
      <c r="J570" s="6">
        <v>17.309999999999999</v>
      </c>
      <c r="K570" s="6">
        <v>34.299999999999997</v>
      </c>
    </row>
    <row r="571" spans="1:11" x14ac:dyDescent="0.2">
      <c r="A571">
        <v>3</v>
      </c>
      <c r="B571" t="s">
        <v>483</v>
      </c>
      <c r="C571" t="s">
        <v>399</v>
      </c>
      <c r="D571" t="s">
        <v>5</v>
      </c>
      <c r="E571" t="s">
        <v>285</v>
      </c>
      <c r="F571" t="s">
        <v>5</v>
      </c>
      <c r="G571" t="s">
        <v>50</v>
      </c>
      <c r="H571" t="s">
        <v>474</v>
      </c>
      <c r="I571" t="s">
        <v>541</v>
      </c>
      <c r="J571" s="6">
        <v>13.73</v>
      </c>
      <c r="K571" s="6">
        <v>17.3</v>
      </c>
    </row>
    <row r="572" spans="1:11" x14ac:dyDescent="0.2">
      <c r="A572">
        <v>3</v>
      </c>
      <c r="B572" t="s">
        <v>483</v>
      </c>
      <c r="C572" t="s">
        <v>70</v>
      </c>
      <c r="D572" t="s">
        <v>6</v>
      </c>
      <c r="E572" t="s">
        <v>41</v>
      </c>
      <c r="F572" t="s">
        <v>6</v>
      </c>
      <c r="G572" t="s">
        <v>314</v>
      </c>
      <c r="H572" t="s">
        <v>474</v>
      </c>
      <c r="I572" t="s">
        <v>541</v>
      </c>
      <c r="J572" s="6">
        <v>10.46</v>
      </c>
      <c r="K572" s="6">
        <v>8.6999999999999993</v>
      </c>
    </row>
    <row r="573" spans="1:11" x14ac:dyDescent="0.2">
      <c r="A573">
        <v>3</v>
      </c>
      <c r="B573" t="s">
        <v>483</v>
      </c>
      <c r="C573" t="s">
        <v>398</v>
      </c>
      <c r="D573" t="s">
        <v>6</v>
      </c>
      <c r="E573" t="s">
        <v>283</v>
      </c>
      <c r="F573" t="s">
        <v>16</v>
      </c>
      <c r="G573" t="s">
        <v>27</v>
      </c>
      <c r="H573" t="s">
        <v>474</v>
      </c>
      <c r="I573" t="s">
        <v>541</v>
      </c>
      <c r="J573" s="6">
        <v>10.48</v>
      </c>
      <c r="K573" s="6">
        <v>9.6999999999999993</v>
      </c>
    </row>
    <row r="574" spans="1:11" x14ac:dyDescent="0.2">
      <c r="A574">
        <v>3</v>
      </c>
      <c r="B574" t="s">
        <v>483</v>
      </c>
      <c r="C574" t="s">
        <v>23</v>
      </c>
      <c r="D574" t="s">
        <v>4</v>
      </c>
      <c r="E574" t="s">
        <v>123</v>
      </c>
      <c r="F574" t="s">
        <v>4</v>
      </c>
      <c r="G574" t="s">
        <v>22</v>
      </c>
      <c r="H574" t="s">
        <v>474</v>
      </c>
      <c r="I574" t="s">
        <v>541</v>
      </c>
      <c r="J574" s="6">
        <v>15.73</v>
      </c>
      <c r="K574" s="6">
        <v>20.9</v>
      </c>
    </row>
    <row r="575" spans="1:11" x14ac:dyDescent="0.2">
      <c r="A575">
        <v>3</v>
      </c>
      <c r="B575" t="s">
        <v>483</v>
      </c>
      <c r="C575" t="s">
        <v>432</v>
      </c>
      <c r="D575" t="s">
        <v>9</v>
      </c>
      <c r="E575" t="s">
        <v>288</v>
      </c>
      <c r="F575" t="s">
        <v>9</v>
      </c>
      <c r="G575" t="s">
        <v>204</v>
      </c>
      <c r="H575" t="s">
        <v>474</v>
      </c>
      <c r="I575" t="s">
        <v>541</v>
      </c>
      <c r="J575" s="6">
        <v>8.98</v>
      </c>
      <c r="K575" s="6">
        <v>5.9</v>
      </c>
    </row>
    <row r="576" spans="1:11" x14ac:dyDescent="0.2">
      <c r="A576">
        <v>3</v>
      </c>
      <c r="B576" t="s">
        <v>483</v>
      </c>
      <c r="C576" t="s">
        <v>359</v>
      </c>
      <c r="D576" t="s">
        <v>6</v>
      </c>
      <c r="E576" t="s">
        <v>360</v>
      </c>
      <c r="F576" t="s">
        <v>16</v>
      </c>
      <c r="G576" t="s">
        <v>78</v>
      </c>
      <c r="H576" t="s">
        <v>474</v>
      </c>
      <c r="I576" t="s">
        <v>541</v>
      </c>
      <c r="J576" s="6">
        <v>7.55</v>
      </c>
      <c r="K576" s="6">
        <v>15.9</v>
      </c>
    </row>
    <row r="577" spans="1:11" x14ac:dyDescent="0.2">
      <c r="A577">
        <v>3</v>
      </c>
      <c r="B577" t="s">
        <v>483</v>
      </c>
      <c r="C577" t="s">
        <v>351</v>
      </c>
      <c r="D577" t="s">
        <v>5</v>
      </c>
      <c r="E577" t="s">
        <v>292</v>
      </c>
      <c r="F577" t="s">
        <v>16</v>
      </c>
      <c r="G577" t="s">
        <v>188</v>
      </c>
      <c r="H577" t="s">
        <v>474</v>
      </c>
      <c r="I577" t="s">
        <v>541</v>
      </c>
      <c r="J577" s="6">
        <v>0</v>
      </c>
      <c r="K577" s="6">
        <v>0</v>
      </c>
    </row>
    <row r="578" spans="1:11" x14ac:dyDescent="0.2">
      <c r="A578">
        <v>3</v>
      </c>
      <c r="B578" t="s">
        <v>483</v>
      </c>
      <c r="C578" t="s">
        <v>132</v>
      </c>
      <c r="D578" t="s">
        <v>12</v>
      </c>
      <c r="E578" t="s">
        <v>123</v>
      </c>
      <c r="F578" t="s">
        <v>12</v>
      </c>
      <c r="G578" t="s">
        <v>368</v>
      </c>
      <c r="H578" t="s">
        <v>474</v>
      </c>
      <c r="I578" t="s">
        <v>541</v>
      </c>
      <c r="J578" s="6">
        <v>5.38</v>
      </c>
      <c r="K578" s="6">
        <v>5</v>
      </c>
    </row>
    <row r="579" spans="1:11" x14ac:dyDescent="0.2">
      <c r="A579">
        <v>3</v>
      </c>
      <c r="B579" t="s">
        <v>483</v>
      </c>
      <c r="C579" t="s">
        <v>441</v>
      </c>
      <c r="D579" t="s">
        <v>13</v>
      </c>
      <c r="E579" t="s">
        <v>293</v>
      </c>
      <c r="F579" t="s">
        <v>13</v>
      </c>
      <c r="G579" t="s">
        <v>249</v>
      </c>
      <c r="H579" t="s">
        <v>474</v>
      </c>
      <c r="I579" t="s">
        <v>541</v>
      </c>
      <c r="J579" s="6">
        <v>8.2200000000000006</v>
      </c>
      <c r="K579" s="6">
        <v>16</v>
      </c>
    </row>
    <row r="580" spans="1:11" x14ac:dyDescent="0.2">
      <c r="A580">
        <v>3</v>
      </c>
      <c r="B580" t="s">
        <v>483</v>
      </c>
      <c r="C580" t="s">
        <v>111</v>
      </c>
      <c r="D580" t="s">
        <v>9</v>
      </c>
      <c r="E580" t="s">
        <v>62</v>
      </c>
      <c r="F580" t="s">
        <v>11</v>
      </c>
      <c r="G580" t="s">
        <v>110</v>
      </c>
      <c r="H580" t="s">
        <v>474</v>
      </c>
      <c r="I580" t="s">
        <v>541</v>
      </c>
      <c r="J580" s="6">
        <v>8.11</v>
      </c>
      <c r="K580" s="6">
        <v>1</v>
      </c>
    </row>
    <row r="581" spans="1:11" x14ac:dyDescent="0.2">
      <c r="A581">
        <v>3</v>
      </c>
      <c r="B581" t="s">
        <v>483</v>
      </c>
      <c r="C581" t="s">
        <v>448</v>
      </c>
      <c r="D581" t="s">
        <v>4</v>
      </c>
      <c r="E581" t="s">
        <v>292</v>
      </c>
      <c r="F581" t="s">
        <v>16</v>
      </c>
      <c r="G581" t="s">
        <v>239</v>
      </c>
      <c r="H581" t="s">
        <v>474</v>
      </c>
      <c r="I581" t="s">
        <v>541</v>
      </c>
      <c r="J581" s="6">
        <v>15.82</v>
      </c>
      <c r="K581" s="6">
        <v>27.66</v>
      </c>
    </row>
    <row r="582" spans="1:11" x14ac:dyDescent="0.2">
      <c r="A582">
        <v>3</v>
      </c>
      <c r="B582" t="s">
        <v>483</v>
      </c>
      <c r="C582" t="s">
        <v>486</v>
      </c>
      <c r="D582" t="s">
        <v>9</v>
      </c>
      <c r="E582" t="s">
        <v>289</v>
      </c>
      <c r="F582" t="s">
        <v>11</v>
      </c>
      <c r="G582" t="s">
        <v>302</v>
      </c>
      <c r="H582" t="s">
        <v>474</v>
      </c>
      <c r="I582" t="s">
        <v>541</v>
      </c>
      <c r="J582" s="6">
        <v>4.45</v>
      </c>
      <c r="K582" s="6">
        <v>7.6</v>
      </c>
    </row>
    <row r="583" spans="1:11" x14ac:dyDescent="0.2">
      <c r="A583">
        <v>3</v>
      </c>
      <c r="B583" t="s">
        <v>483</v>
      </c>
      <c r="C583" t="s">
        <v>367</v>
      </c>
      <c r="D583" t="s">
        <v>6</v>
      </c>
      <c r="E583" t="s">
        <v>286</v>
      </c>
      <c r="F583" t="s">
        <v>6</v>
      </c>
      <c r="G583" t="s">
        <v>542</v>
      </c>
      <c r="H583" t="s">
        <v>474</v>
      </c>
      <c r="I583" t="s">
        <v>541</v>
      </c>
      <c r="J583" s="6">
        <v>7.93</v>
      </c>
      <c r="K583" s="6">
        <v>7</v>
      </c>
    </row>
    <row r="584" spans="1:11" x14ac:dyDescent="0.2">
      <c r="A584">
        <v>3</v>
      </c>
      <c r="B584" t="s">
        <v>478</v>
      </c>
      <c r="C584" t="s">
        <v>423</v>
      </c>
      <c r="D584" t="s">
        <v>5</v>
      </c>
      <c r="E584" t="s">
        <v>288</v>
      </c>
      <c r="F584" t="s">
        <v>5</v>
      </c>
      <c r="G584" t="s">
        <v>196</v>
      </c>
      <c r="H584" t="s">
        <v>256</v>
      </c>
      <c r="I584" t="s">
        <v>543</v>
      </c>
      <c r="J584" s="6">
        <v>23.4</v>
      </c>
      <c r="K584" s="6">
        <v>37.9</v>
      </c>
    </row>
    <row r="585" spans="1:11" x14ac:dyDescent="0.2">
      <c r="A585">
        <v>3</v>
      </c>
      <c r="B585" t="s">
        <v>478</v>
      </c>
      <c r="C585" t="s">
        <v>422</v>
      </c>
      <c r="D585" t="s">
        <v>9</v>
      </c>
      <c r="E585" t="s">
        <v>300</v>
      </c>
      <c r="F585" t="s">
        <v>9</v>
      </c>
      <c r="G585" t="s">
        <v>230</v>
      </c>
      <c r="H585" t="s">
        <v>256</v>
      </c>
      <c r="I585" t="s">
        <v>543</v>
      </c>
      <c r="J585" s="6">
        <v>12.82</v>
      </c>
      <c r="K585" s="6">
        <v>12</v>
      </c>
    </row>
    <row r="586" spans="1:11" x14ac:dyDescent="0.2">
      <c r="A586">
        <v>3</v>
      </c>
      <c r="B586" t="s">
        <v>478</v>
      </c>
      <c r="C586" t="s">
        <v>48</v>
      </c>
      <c r="D586" t="s">
        <v>6</v>
      </c>
      <c r="E586" t="s">
        <v>34</v>
      </c>
      <c r="F586" t="s">
        <v>6</v>
      </c>
      <c r="G586" t="s">
        <v>47</v>
      </c>
      <c r="H586" t="s">
        <v>256</v>
      </c>
      <c r="I586" t="s">
        <v>543</v>
      </c>
      <c r="J586" s="6">
        <v>14.74</v>
      </c>
      <c r="K586" s="6">
        <v>15.2</v>
      </c>
    </row>
    <row r="587" spans="1:11" x14ac:dyDescent="0.2">
      <c r="A587">
        <v>3</v>
      </c>
      <c r="B587" t="s">
        <v>478</v>
      </c>
      <c r="C587" t="s">
        <v>363</v>
      </c>
      <c r="D587" t="s">
        <v>6</v>
      </c>
      <c r="E587" t="s">
        <v>288</v>
      </c>
      <c r="F587" t="s">
        <v>6</v>
      </c>
      <c r="G587" t="s">
        <v>234</v>
      </c>
      <c r="H587" t="s">
        <v>256</v>
      </c>
      <c r="I587" t="s">
        <v>543</v>
      </c>
      <c r="J587" s="6">
        <v>9.2899999999999991</v>
      </c>
      <c r="K587" s="6">
        <v>6.9</v>
      </c>
    </row>
    <row r="588" spans="1:11" x14ac:dyDescent="0.2">
      <c r="A588">
        <v>3</v>
      </c>
      <c r="B588" t="s">
        <v>478</v>
      </c>
      <c r="C588" t="s">
        <v>425</v>
      </c>
      <c r="D588" t="s">
        <v>5</v>
      </c>
      <c r="E588" t="s">
        <v>286</v>
      </c>
      <c r="F588" t="s">
        <v>5</v>
      </c>
      <c r="G588" t="s">
        <v>51</v>
      </c>
      <c r="H588" t="s">
        <v>256</v>
      </c>
      <c r="I588" t="s">
        <v>543</v>
      </c>
      <c r="J588" s="6">
        <v>11.19</v>
      </c>
      <c r="K588" s="6">
        <v>5.8</v>
      </c>
    </row>
    <row r="589" spans="1:11" x14ac:dyDescent="0.2">
      <c r="A589">
        <v>3</v>
      </c>
      <c r="B589" t="s">
        <v>478</v>
      </c>
      <c r="C589" t="s">
        <v>105</v>
      </c>
      <c r="D589" t="s">
        <v>5</v>
      </c>
      <c r="E589" t="s">
        <v>41</v>
      </c>
      <c r="F589" t="s">
        <v>16</v>
      </c>
      <c r="G589" t="s">
        <v>480</v>
      </c>
      <c r="H589" t="s">
        <v>256</v>
      </c>
      <c r="I589" t="s">
        <v>543</v>
      </c>
      <c r="J589" s="6">
        <v>6.45</v>
      </c>
      <c r="K589" s="6">
        <v>2</v>
      </c>
    </row>
    <row r="590" spans="1:11" x14ac:dyDescent="0.2">
      <c r="A590">
        <v>3</v>
      </c>
      <c r="B590" t="s">
        <v>478</v>
      </c>
      <c r="C590" t="s">
        <v>102</v>
      </c>
      <c r="D590" t="s">
        <v>5</v>
      </c>
      <c r="E590" t="s">
        <v>24</v>
      </c>
      <c r="F590" t="s">
        <v>11</v>
      </c>
      <c r="G590" t="s">
        <v>225</v>
      </c>
      <c r="H590" t="s">
        <v>256</v>
      </c>
      <c r="I590" t="s">
        <v>543</v>
      </c>
      <c r="J590" s="6">
        <v>8.0500000000000007</v>
      </c>
      <c r="K590" s="6">
        <v>2.8</v>
      </c>
    </row>
    <row r="591" spans="1:11" x14ac:dyDescent="0.2">
      <c r="A591">
        <v>3</v>
      </c>
      <c r="B591" t="s">
        <v>478</v>
      </c>
      <c r="C591" t="s">
        <v>395</v>
      </c>
      <c r="D591" t="s">
        <v>6</v>
      </c>
      <c r="E591" t="s">
        <v>293</v>
      </c>
      <c r="F591" t="s">
        <v>16</v>
      </c>
      <c r="G591" t="s">
        <v>191</v>
      </c>
      <c r="H591" t="s">
        <v>256</v>
      </c>
      <c r="I591" t="s">
        <v>543</v>
      </c>
      <c r="J591" s="6">
        <v>8.65</v>
      </c>
      <c r="K591" s="6">
        <v>17.5</v>
      </c>
    </row>
    <row r="592" spans="1:11" x14ac:dyDescent="0.2">
      <c r="A592">
        <v>3</v>
      </c>
      <c r="B592" t="s">
        <v>478</v>
      </c>
      <c r="C592" t="s">
        <v>424</v>
      </c>
      <c r="D592" t="s">
        <v>4</v>
      </c>
      <c r="E592" t="s">
        <v>294</v>
      </c>
      <c r="F592" t="s">
        <v>16</v>
      </c>
      <c r="G592" t="s">
        <v>260</v>
      </c>
      <c r="H592" t="s">
        <v>256</v>
      </c>
      <c r="I592" t="s">
        <v>543</v>
      </c>
      <c r="J592" s="6">
        <v>16.559999999999999</v>
      </c>
      <c r="K592" s="6">
        <v>24.14</v>
      </c>
    </row>
    <row r="593" spans="1:11" x14ac:dyDescent="0.2">
      <c r="A593">
        <v>3</v>
      </c>
      <c r="B593" t="s">
        <v>478</v>
      </c>
      <c r="C593" t="s">
        <v>407</v>
      </c>
      <c r="D593" t="s">
        <v>9</v>
      </c>
      <c r="E593" t="s">
        <v>290</v>
      </c>
      <c r="F593" t="s">
        <v>16</v>
      </c>
      <c r="G593" t="s">
        <v>10</v>
      </c>
      <c r="H593" t="s">
        <v>256</v>
      </c>
      <c r="I593" t="s">
        <v>543</v>
      </c>
      <c r="J593" s="6">
        <v>8.3000000000000007</v>
      </c>
      <c r="K593" s="6">
        <v>3.9</v>
      </c>
    </row>
    <row r="594" spans="1:11" x14ac:dyDescent="0.2">
      <c r="A594">
        <v>3</v>
      </c>
      <c r="B594" t="s">
        <v>478</v>
      </c>
      <c r="C594" t="s">
        <v>355</v>
      </c>
      <c r="D594" t="s">
        <v>6</v>
      </c>
      <c r="E594" t="s">
        <v>291</v>
      </c>
      <c r="F594" t="s">
        <v>11</v>
      </c>
      <c r="G594" t="s">
        <v>252</v>
      </c>
      <c r="H594" t="s">
        <v>256</v>
      </c>
      <c r="I594" t="s">
        <v>543</v>
      </c>
      <c r="J594" s="6">
        <v>9.51</v>
      </c>
      <c r="K594" s="6">
        <v>10.199999999999999</v>
      </c>
    </row>
    <row r="595" spans="1:11" x14ac:dyDescent="0.2">
      <c r="A595">
        <v>3</v>
      </c>
      <c r="B595" t="s">
        <v>478</v>
      </c>
      <c r="C595" t="s">
        <v>152</v>
      </c>
      <c r="D595" t="s">
        <v>12</v>
      </c>
      <c r="E595" t="s">
        <v>62</v>
      </c>
      <c r="F595" t="s">
        <v>12</v>
      </c>
      <c r="G595" t="s">
        <v>151</v>
      </c>
      <c r="H595" t="s">
        <v>256</v>
      </c>
      <c r="I595" t="s">
        <v>543</v>
      </c>
      <c r="J595" s="6">
        <v>4.96</v>
      </c>
      <c r="K595" s="6">
        <v>0</v>
      </c>
    </row>
    <row r="596" spans="1:11" x14ac:dyDescent="0.2">
      <c r="A596">
        <v>3</v>
      </c>
      <c r="B596" t="s">
        <v>478</v>
      </c>
      <c r="C596" t="s">
        <v>451</v>
      </c>
      <c r="D596" t="s">
        <v>13</v>
      </c>
      <c r="E596" t="s">
        <v>52</v>
      </c>
      <c r="F596" t="s">
        <v>13</v>
      </c>
      <c r="G596" t="s">
        <v>452</v>
      </c>
      <c r="H596" t="s">
        <v>256</v>
      </c>
      <c r="I596" t="s">
        <v>543</v>
      </c>
      <c r="J596" s="6">
        <v>9.85</v>
      </c>
      <c r="K596" s="6">
        <v>8</v>
      </c>
    </row>
    <row r="597" spans="1:11" x14ac:dyDescent="0.2">
      <c r="A597">
        <v>3</v>
      </c>
      <c r="B597" t="s">
        <v>478</v>
      </c>
      <c r="C597" t="s">
        <v>413</v>
      </c>
      <c r="D597" t="s">
        <v>4</v>
      </c>
      <c r="E597" t="s">
        <v>289</v>
      </c>
      <c r="F597" t="s">
        <v>4</v>
      </c>
      <c r="G597" t="s">
        <v>220</v>
      </c>
      <c r="H597" t="s">
        <v>256</v>
      </c>
      <c r="I597" t="s">
        <v>543</v>
      </c>
      <c r="J597" s="6">
        <v>16.75</v>
      </c>
      <c r="K597" s="6">
        <v>13.64</v>
      </c>
    </row>
    <row r="598" spans="1:11" x14ac:dyDescent="0.2">
      <c r="A598">
        <v>3</v>
      </c>
      <c r="B598" t="s">
        <v>256</v>
      </c>
      <c r="C598" t="s">
        <v>104</v>
      </c>
      <c r="D598" t="s">
        <v>5</v>
      </c>
      <c r="E598" t="s">
        <v>125</v>
      </c>
      <c r="F598" t="s">
        <v>5</v>
      </c>
      <c r="G598" t="s">
        <v>316</v>
      </c>
      <c r="H598" t="s">
        <v>481</v>
      </c>
      <c r="I598" t="s">
        <v>544</v>
      </c>
      <c r="J598" s="6">
        <v>13.85</v>
      </c>
      <c r="K598" s="6">
        <v>5.6</v>
      </c>
    </row>
    <row r="599" spans="1:11" x14ac:dyDescent="0.2">
      <c r="A599">
        <v>3</v>
      </c>
      <c r="B599" t="s">
        <v>256</v>
      </c>
      <c r="C599" t="s">
        <v>375</v>
      </c>
      <c r="D599" t="s">
        <v>5</v>
      </c>
      <c r="E599" t="s">
        <v>298</v>
      </c>
      <c r="F599" t="s">
        <v>5</v>
      </c>
      <c r="G599" t="s">
        <v>208</v>
      </c>
      <c r="H599" t="s">
        <v>481</v>
      </c>
      <c r="I599" t="s">
        <v>544</v>
      </c>
      <c r="J599" s="6">
        <v>14.62</v>
      </c>
      <c r="K599" s="6">
        <v>7.9</v>
      </c>
    </row>
    <row r="600" spans="1:11" x14ac:dyDescent="0.2">
      <c r="A600">
        <v>3</v>
      </c>
      <c r="B600" t="s">
        <v>256</v>
      </c>
      <c r="C600" t="s">
        <v>7</v>
      </c>
      <c r="D600" t="s">
        <v>6</v>
      </c>
      <c r="E600" t="s">
        <v>123</v>
      </c>
      <c r="F600" t="s">
        <v>6</v>
      </c>
      <c r="G600" t="s">
        <v>94</v>
      </c>
      <c r="H600" t="s">
        <v>481</v>
      </c>
      <c r="I600" t="s">
        <v>544</v>
      </c>
      <c r="J600" s="6">
        <v>13.04</v>
      </c>
      <c r="K600" s="6">
        <v>17.2</v>
      </c>
    </row>
    <row r="601" spans="1:11" x14ac:dyDescent="0.2">
      <c r="A601">
        <v>3</v>
      </c>
      <c r="B601" t="s">
        <v>256</v>
      </c>
      <c r="C601" t="s">
        <v>81</v>
      </c>
      <c r="D601" t="s">
        <v>4</v>
      </c>
      <c r="E601" t="s">
        <v>62</v>
      </c>
      <c r="F601" t="s">
        <v>4</v>
      </c>
      <c r="G601" t="s">
        <v>258</v>
      </c>
      <c r="H601" t="s">
        <v>481</v>
      </c>
      <c r="I601" t="s">
        <v>544</v>
      </c>
      <c r="J601" s="6">
        <v>18.64</v>
      </c>
      <c r="K601" s="6">
        <v>3.76</v>
      </c>
    </row>
    <row r="602" spans="1:11" x14ac:dyDescent="0.2">
      <c r="A602">
        <v>3</v>
      </c>
      <c r="B602" t="s">
        <v>256</v>
      </c>
      <c r="C602" t="s">
        <v>370</v>
      </c>
      <c r="D602" t="s">
        <v>6</v>
      </c>
      <c r="E602" t="s">
        <v>294</v>
      </c>
      <c r="F602" t="s">
        <v>6</v>
      </c>
      <c r="G602" t="s">
        <v>95</v>
      </c>
      <c r="H602" t="s">
        <v>481</v>
      </c>
      <c r="I602" t="s">
        <v>544</v>
      </c>
      <c r="J602" s="6">
        <v>9.01</v>
      </c>
      <c r="K602" s="6">
        <v>6.1</v>
      </c>
    </row>
    <row r="603" spans="1:11" x14ac:dyDescent="0.2">
      <c r="A603">
        <v>3</v>
      </c>
      <c r="B603" t="s">
        <v>256</v>
      </c>
      <c r="C603" t="s">
        <v>101</v>
      </c>
      <c r="D603" t="s">
        <v>6</v>
      </c>
      <c r="E603" t="s">
        <v>24</v>
      </c>
      <c r="F603" t="s">
        <v>11</v>
      </c>
      <c r="G603" t="s">
        <v>166</v>
      </c>
      <c r="H603" t="s">
        <v>481</v>
      </c>
      <c r="I603" t="s">
        <v>544</v>
      </c>
      <c r="J603" s="6">
        <v>12.14</v>
      </c>
      <c r="K603" s="6">
        <v>19.100000000000001</v>
      </c>
    </row>
    <row r="604" spans="1:11" x14ac:dyDescent="0.2">
      <c r="A604">
        <v>3</v>
      </c>
      <c r="B604" t="s">
        <v>256</v>
      </c>
      <c r="C604" t="s">
        <v>385</v>
      </c>
      <c r="D604" t="s">
        <v>9</v>
      </c>
      <c r="E604" t="s">
        <v>284</v>
      </c>
      <c r="F604" t="s">
        <v>16</v>
      </c>
      <c r="G604" t="s">
        <v>57</v>
      </c>
      <c r="H604" t="s">
        <v>481</v>
      </c>
      <c r="I604" t="s">
        <v>544</v>
      </c>
      <c r="J604" s="6">
        <v>0</v>
      </c>
      <c r="K604" s="6">
        <v>0</v>
      </c>
    </row>
    <row r="605" spans="1:11" x14ac:dyDescent="0.2">
      <c r="A605">
        <v>3</v>
      </c>
      <c r="B605" t="s">
        <v>256</v>
      </c>
      <c r="C605" t="s">
        <v>390</v>
      </c>
      <c r="D605" t="s">
        <v>6</v>
      </c>
      <c r="E605" t="s">
        <v>358</v>
      </c>
      <c r="F605" t="s">
        <v>11</v>
      </c>
      <c r="G605" t="s">
        <v>26</v>
      </c>
      <c r="H605" t="s">
        <v>481</v>
      </c>
      <c r="I605" t="s">
        <v>544</v>
      </c>
      <c r="J605" s="6">
        <v>8.34</v>
      </c>
      <c r="K605" s="6">
        <v>5.3</v>
      </c>
    </row>
    <row r="606" spans="1:11" x14ac:dyDescent="0.2">
      <c r="A606">
        <v>3</v>
      </c>
      <c r="B606" t="s">
        <v>256</v>
      </c>
      <c r="C606" t="s">
        <v>411</v>
      </c>
      <c r="D606" t="s">
        <v>13</v>
      </c>
      <c r="E606" t="s">
        <v>286</v>
      </c>
      <c r="F606" t="s">
        <v>13</v>
      </c>
      <c r="G606" t="s">
        <v>232</v>
      </c>
      <c r="H606" t="s">
        <v>481</v>
      </c>
      <c r="I606" t="s">
        <v>544</v>
      </c>
      <c r="J606" s="6">
        <v>9.2799999999999994</v>
      </c>
      <c r="K606" s="6">
        <v>5</v>
      </c>
    </row>
    <row r="607" spans="1:11" x14ac:dyDescent="0.2">
      <c r="A607">
        <v>3</v>
      </c>
      <c r="B607" t="s">
        <v>256</v>
      </c>
      <c r="C607" t="s">
        <v>72</v>
      </c>
      <c r="D607" t="s">
        <v>6</v>
      </c>
      <c r="E607" t="s">
        <v>25</v>
      </c>
      <c r="F607" t="s">
        <v>16</v>
      </c>
      <c r="G607" t="s">
        <v>209</v>
      </c>
      <c r="H607" t="s">
        <v>481</v>
      </c>
      <c r="I607" t="s">
        <v>544</v>
      </c>
      <c r="J607" s="6">
        <v>9.7100000000000009</v>
      </c>
      <c r="K607" s="6">
        <v>3</v>
      </c>
    </row>
    <row r="608" spans="1:11" x14ac:dyDescent="0.2">
      <c r="A608">
        <v>3</v>
      </c>
      <c r="B608" t="s">
        <v>256</v>
      </c>
      <c r="C608" t="s">
        <v>86</v>
      </c>
      <c r="D608" t="s">
        <v>6</v>
      </c>
      <c r="E608" t="s">
        <v>55</v>
      </c>
      <c r="F608" t="s">
        <v>16</v>
      </c>
      <c r="G608" t="s">
        <v>244</v>
      </c>
      <c r="H608" t="s">
        <v>481</v>
      </c>
      <c r="I608" t="s">
        <v>544</v>
      </c>
      <c r="J608" s="6">
        <v>5.19</v>
      </c>
      <c r="K608" s="6">
        <v>2.1</v>
      </c>
    </row>
    <row r="609" spans="1:11" x14ac:dyDescent="0.2">
      <c r="A609">
        <v>3</v>
      </c>
      <c r="B609" t="s">
        <v>256</v>
      </c>
      <c r="C609" t="s">
        <v>350</v>
      </c>
      <c r="D609" t="s">
        <v>5</v>
      </c>
      <c r="E609" t="s">
        <v>300</v>
      </c>
      <c r="F609" t="s">
        <v>16</v>
      </c>
      <c r="G609" t="s">
        <v>142</v>
      </c>
      <c r="H609" t="s">
        <v>481</v>
      </c>
      <c r="I609" t="s">
        <v>544</v>
      </c>
      <c r="J609" s="6">
        <v>6.71</v>
      </c>
      <c r="K609" s="6">
        <v>2.9</v>
      </c>
    </row>
    <row r="610" spans="1:11" x14ac:dyDescent="0.2">
      <c r="A610">
        <v>3</v>
      </c>
      <c r="B610" t="s">
        <v>256</v>
      </c>
      <c r="C610" t="s">
        <v>402</v>
      </c>
      <c r="D610" t="s">
        <v>12</v>
      </c>
      <c r="E610" t="s">
        <v>288</v>
      </c>
      <c r="F610" t="s">
        <v>12</v>
      </c>
      <c r="G610" t="s">
        <v>227</v>
      </c>
      <c r="H610" t="s">
        <v>481</v>
      </c>
      <c r="I610" t="s">
        <v>544</v>
      </c>
      <c r="J610" s="6">
        <v>6.63</v>
      </c>
      <c r="K610" s="6">
        <v>7</v>
      </c>
    </row>
    <row r="611" spans="1:11" x14ac:dyDescent="0.2">
      <c r="A611">
        <v>3</v>
      </c>
      <c r="B611" t="s">
        <v>256</v>
      </c>
      <c r="C611" t="s">
        <v>408</v>
      </c>
      <c r="D611" t="s">
        <v>9</v>
      </c>
      <c r="E611" t="s">
        <v>299</v>
      </c>
      <c r="F611" t="s">
        <v>9</v>
      </c>
      <c r="G611" t="s">
        <v>28</v>
      </c>
      <c r="H611" t="s">
        <v>481</v>
      </c>
      <c r="I611" t="s">
        <v>544</v>
      </c>
      <c r="J611" s="6">
        <v>6.44</v>
      </c>
      <c r="K611" s="6">
        <v>4.0999999999999996</v>
      </c>
    </row>
    <row r="612" spans="1:11" x14ac:dyDescent="0.2">
      <c r="J612" s="6"/>
      <c r="K612" s="6"/>
    </row>
    <row r="613" spans="1:11" x14ac:dyDescent="0.2">
      <c r="J613" s="6"/>
      <c r="K613" s="6"/>
    </row>
    <row r="614" spans="1:11" x14ac:dyDescent="0.2">
      <c r="J614" s="6"/>
      <c r="K614" s="6"/>
    </row>
    <row r="615" spans="1:11" x14ac:dyDescent="0.2">
      <c r="J615" s="6"/>
      <c r="K615" s="6"/>
    </row>
    <row r="616" spans="1:11" x14ac:dyDescent="0.2">
      <c r="J616" s="6"/>
      <c r="K616" s="6"/>
    </row>
    <row r="617" spans="1:11" x14ac:dyDescent="0.2">
      <c r="J617" s="6"/>
      <c r="K617" s="6"/>
    </row>
    <row r="618" spans="1:11" x14ac:dyDescent="0.2">
      <c r="J618" s="6"/>
      <c r="K618" s="6"/>
    </row>
    <row r="619" spans="1:11" x14ac:dyDescent="0.2">
      <c r="J619" s="6"/>
      <c r="K619" s="6"/>
    </row>
    <row r="620" spans="1:11" x14ac:dyDescent="0.2">
      <c r="J620" s="6"/>
      <c r="K620" s="6"/>
    </row>
    <row r="621" spans="1:11" x14ac:dyDescent="0.2">
      <c r="J621" s="6"/>
      <c r="K621" s="6"/>
    </row>
    <row r="622" spans="1:11" x14ac:dyDescent="0.2">
      <c r="J622" s="6"/>
      <c r="K622" s="6"/>
    </row>
    <row r="623" spans="1:11" x14ac:dyDescent="0.2">
      <c r="J623" s="6"/>
      <c r="K623" s="6"/>
    </row>
    <row r="624" spans="1:11" x14ac:dyDescent="0.2">
      <c r="J624" s="6"/>
      <c r="K624" s="6"/>
    </row>
    <row r="625" spans="10:11" x14ac:dyDescent="0.2">
      <c r="J625" s="6"/>
      <c r="K625" s="6"/>
    </row>
    <row r="626" spans="10:11" x14ac:dyDescent="0.2">
      <c r="J626" s="6"/>
      <c r="K626" s="6"/>
    </row>
    <row r="627" spans="10:11" x14ac:dyDescent="0.2">
      <c r="J627" s="6"/>
      <c r="K627" s="6"/>
    </row>
    <row r="628" spans="10:11" x14ac:dyDescent="0.2">
      <c r="J628" s="6"/>
      <c r="K628" s="6"/>
    </row>
    <row r="629" spans="10:11" x14ac:dyDescent="0.2">
      <c r="J629" s="6"/>
      <c r="K629" s="6"/>
    </row>
    <row r="630" spans="10:11" x14ac:dyDescent="0.2">
      <c r="J630" s="6"/>
      <c r="K630" s="6"/>
    </row>
    <row r="631" spans="10:11" x14ac:dyDescent="0.2">
      <c r="J631" s="6"/>
      <c r="K631" s="6"/>
    </row>
    <row r="632" spans="10:11" x14ac:dyDescent="0.2">
      <c r="J632" s="6"/>
      <c r="K632" s="6"/>
    </row>
    <row r="633" spans="10:11" x14ac:dyDescent="0.2">
      <c r="J633" s="6"/>
      <c r="K633" s="6"/>
    </row>
    <row r="634" spans="10:11" x14ac:dyDescent="0.2">
      <c r="J634" s="6"/>
      <c r="K634" s="6"/>
    </row>
    <row r="635" spans="10:11" x14ac:dyDescent="0.2">
      <c r="J635" s="6"/>
      <c r="K635" s="6"/>
    </row>
    <row r="636" spans="10:11" x14ac:dyDescent="0.2">
      <c r="J636" s="6"/>
      <c r="K636" s="6"/>
    </row>
    <row r="637" spans="10:11" x14ac:dyDescent="0.2">
      <c r="J637" s="6"/>
      <c r="K637" s="6"/>
    </row>
    <row r="638" spans="10:11" x14ac:dyDescent="0.2">
      <c r="J638" s="6"/>
      <c r="K638" s="6"/>
    </row>
    <row r="639" spans="10:11" x14ac:dyDescent="0.2">
      <c r="J639" s="6"/>
      <c r="K639" s="6"/>
    </row>
    <row r="640" spans="10:11" x14ac:dyDescent="0.2">
      <c r="J640" s="6"/>
      <c r="K640" s="6"/>
    </row>
    <row r="641" spans="10:11" x14ac:dyDescent="0.2">
      <c r="J641" s="6"/>
      <c r="K641" s="6"/>
    </row>
    <row r="642" spans="10:11" x14ac:dyDescent="0.2">
      <c r="J642" s="6"/>
      <c r="K642" s="6"/>
    </row>
    <row r="643" spans="10:11" x14ac:dyDescent="0.2">
      <c r="J643" s="6"/>
      <c r="K643" s="6"/>
    </row>
    <row r="644" spans="10:11" x14ac:dyDescent="0.2">
      <c r="J644" s="6"/>
      <c r="K644" s="6"/>
    </row>
    <row r="645" spans="10:11" x14ac:dyDescent="0.2">
      <c r="J645" s="6"/>
      <c r="K645" s="6"/>
    </row>
    <row r="646" spans="10:11" x14ac:dyDescent="0.2">
      <c r="J646" s="6"/>
      <c r="K646" s="6"/>
    </row>
    <row r="647" spans="10:11" x14ac:dyDescent="0.2">
      <c r="J647" s="6"/>
      <c r="K647" s="6"/>
    </row>
    <row r="648" spans="10:11" x14ac:dyDescent="0.2">
      <c r="J648" s="6"/>
      <c r="K648" s="6"/>
    </row>
    <row r="649" spans="10:11" x14ac:dyDescent="0.2">
      <c r="J649" s="6"/>
      <c r="K649" s="6"/>
    </row>
    <row r="650" spans="10:11" x14ac:dyDescent="0.2">
      <c r="J650" s="6"/>
      <c r="K650" s="6"/>
    </row>
    <row r="651" spans="10:11" x14ac:dyDescent="0.2">
      <c r="J651" s="6"/>
      <c r="K651" s="6"/>
    </row>
    <row r="652" spans="10:11" x14ac:dyDescent="0.2">
      <c r="J652" s="6"/>
      <c r="K652" s="6"/>
    </row>
    <row r="653" spans="10:11" x14ac:dyDescent="0.2">
      <c r="J653" s="6"/>
      <c r="K653" s="6"/>
    </row>
    <row r="654" spans="10:11" x14ac:dyDescent="0.2">
      <c r="J654" s="6"/>
      <c r="K654" s="6"/>
    </row>
    <row r="655" spans="10:11" x14ac:dyDescent="0.2">
      <c r="J655" s="6"/>
      <c r="K655" s="6"/>
    </row>
    <row r="656" spans="10:11" x14ac:dyDescent="0.2">
      <c r="J656" s="6"/>
      <c r="K656" s="6"/>
    </row>
    <row r="657" spans="10:11" x14ac:dyDescent="0.2">
      <c r="J657" s="6"/>
      <c r="K657" s="6"/>
    </row>
    <row r="658" spans="10:11" x14ac:dyDescent="0.2">
      <c r="J658" s="6"/>
      <c r="K658" s="6"/>
    </row>
    <row r="659" spans="10:11" x14ac:dyDescent="0.2">
      <c r="J659" s="6"/>
      <c r="K659" s="6"/>
    </row>
    <row r="660" spans="10:11" x14ac:dyDescent="0.2">
      <c r="J660" s="6"/>
      <c r="K660" s="6"/>
    </row>
    <row r="661" spans="10:11" x14ac:dyDescent="0.2">
      <c r="J661" s="6"/>
      <c r="K661" s="6"/>
    </row>
    <row r="662" spans="10:11" x14ac:dyDescent="0.2">
      <c r="J662" s="6"/>
      <c r="K662" s="6"/>
    </row>
    <row r="663" spans="10:11" x14ac:dyDescent="0.2">
      <c r="J663" s="6"/>
      <c r="K663" s="6"/>
    </row>
    <row r="664" spans="10:11" x14ac:dyDescent="0.2">
      <c r="J664" s="6"/>
      <c r="K664" s="6"/>
    </row>
    <row r="665" spans="10:11" x14ac:dyDescent="0.2">
      <c r="J665" s="6"/>
      <c r="K665" s="6"/>
    </row>
    <row r="666" spans="10:11" x14ac:dyDescent="0.2">
      <c r="J666" s="6"/>
      <c r="K666" s="6"/>
    </row>
    <row r="667" spans="10:11" x14ac:dyDescent="0.2">
      <c r="J667" s="6"/>
      <c r="K667" s="6"/>
    </row>
    <row r="668" spans="10:11" x14ac:dyDescent="0.2">
      <c r="J668" s="6"/>
      <c r="K668" s="6"/>
    </row>
    <row r="669" spans="10:11" x14ac:dyDescent="0.2">
      <c r="J669" s="6"/>
      <c r="K669" s="6"/>
    </row>
    <row r="670" spans="10:11" x14ac:dyDescent="0.2">
      <c r="J670" s="6"/>
      <c r="K670" s="6"/>
    </row>
    <row r="671" spans="10:11" x14ac:dyDescent="0.2">
      <c r="J671" s="6"/>
      <c r="K671" s="6"/>
    </row>
    <row r="672" spans="10:11" x14ac:dyDescent="0.2">
      <c r="J672" s="6"/>
      <c r="K672" s="6"/>
    </row>
    <row r="673" spans="10:11" x14ac:dyDescent="0.2">
      <c r="J673" s="6"/>
      <c r="K673" s="6"/>
    </row>
    <row r="674" spans="10:11" x14ac:dyDescent="0.2">
      <c r="J674" s="6"/>
      <c r="K674" s="6"/>
    </row>
    <row r="675" spans="10:11" x14ac:dyDescent="0.2">
      <c r="J675" s="6"/>
      <c r="K675" s="6"/>
    </row>
    <row r="676" spans="10:11" x14ac:dyDescent="0.2">
      <c r="J676" s="6"/>
      <c r="K676" s="6"/>
    </row>
    <row r="677" spans="10:11" x14ac:dyDescent="0.2">
      <c r="J677" s="6"/>
      <c r="K677" s="6"/>
    </row>
    <row r="678" spans="10:11" x14ac:dyDescent="0.2">
      <c r="J678" s="6"/>
      <c r="K678" s="6"/>
    </row>
    <row r="679" spans="10:11" x14ac:dyDescent="0.2">
      <c r="J679" s="6"/>
      <c r="K679" s="6"/>
    </row>
    <row r="680" spans="10:11" x14ac:dyDescent="0.2">
      <c r="J680" s="6"/>
      <c r="K680" s="6"/>
    </row>
    <row r="681" spans="10:11" x14ac:dyDescent="0.2">
      <c r="J681" s="6"/>
      <c r="K681" s="6"/>
    </row>
    <row r="682" spans="10:11" x14ac:dyDescent="0.2">
      <c r="J682" s="6"/>
      <c r="K682" s="6"/>
    </row>
    <row r="683" spans="10:11" x14ac:dyDescent="0.2">
      <c r="J683" s="6"/>
      <c r="K683" s="6"/>
    </row>
    <row r="684" spans="10:11" x14ac:dyDescent="0.2">
      <c r="J684" s="6"/>
      <c r="K684" s="6"/>
    </row>
    <row r="685" spans="10:11" x14ac:dyDescent="0.2">
      <c r="J685" s="6"/>
      <c r="K685" s="6"/>
    </row>
    <row r="686" spans="10:11" x14ac:dyDescent="0.2">
      <c r="J686" s="6"/>
      <c r="K686" s="6"/>
    </row>
    <row r="687" spans="10:11" x14ac:dyDescent="0.2">
      <c r="J687" s="6"/>
      <c r="K687" s="6"/>
    </row>
    <row r="688" spans="10:11" x14ac:dyDescent="0.2">
      <c r="J688" s="6"/>
      <c r="K688" s="6"/>
    </row>
    <row r="689" spans="10:11" x14ac:dyDescent="0.2">
      <c r="J689" s="6"/>
      <c r="K689" s="6"/>
    </row>
    <row r="690" spans="10:11" x14ac:dyDescent="0.2">
      <c r="J690" s="6"/>
      <c r="K690" s="6"/>
    </row>
    <row r="691" spans="10:11" x14ac:dyDescent="0.2">
      <c r="J691" s="6"/>
      <c r="K691" s="6"/>
    </row>
    <row r="692" spans="10:11" x14ac:dyDescent="0.2">
      <c r="J692" s="6"/>
      <c r="K692" s="6"/>
    </row>
    <row r="693" spans="10:11" x14ac:dyDescent="0.2">
      <c r="J693" s="6"/>
      <c r="K693" s="6"/>
    </row>
    <row r="694" spans="10:11" x14ac:dyDescent="0.2">
      <c r="J694" s="6"/>
      <c r="K694" s="6"/>
    </row>
    <row r="695" spans="10:11" x14ac:dyDescent="0.2">
      <c r="J695" s="6"/>
      <c r="K695" s="6"/>
    </row>
    <row r="696" spans="10:11" x14ac:dyDescent="0.2">
      <c r="J696" s="6"/>
      <c r="K696" s="6"/>
    </row>
    <row r="697" spans="10:11" x14ac:dyDescent="0.2">
      <c r="J697" s="6"/>
      <c r="K697" s="6"/>
    </row>
    <row r="698" spans="10:11" x14ac:dyDescent="0.2">
      <c r="J698" s="6"/>
      <c r="K698" s="6"/>
    </row>
    <row r="699" spans="10:11" x14ac:dyDescent="0.2">
      <c r="J699" s="6"/>
      <c r="K699" s="6"/>
    </row>
    <row r="700" spans="10:11" x14ac:dyDescent="0.2">
      <c r="J700" s="6"/>
      <c r="K700" s="6"/>
    </row>
    <row r="701" spans="10:11" x14ac:dyDescent="0.2">
      <c r="J701" s="6"/>
      <c r="K701" s="6"/>
    </row>
    <row r="702" spans="10:11" x14ac:dyDescent="0.2">
      <c r="J702" s="6"/>
      <c r="K702" s="6"/>
    </row>
    <row r="703" spans="10:11" x14ac:dyDescent="0.2">
      <c r="J703" s="6"/>
      <c r="K703" s="6"/>
    </row>
    <row r="704" spans="10:11" x14ac:dyDescent="0.2">
      <c r="J704" s="6"/>
      <c r="K704" s="6"/>
    </row>
    <row r="705" spans="10:11" x14ac:dyDescent="0.2">
      <c r="J705" s="6"/>
      <c r="K705" s="6"/>
    </row>
    <row r="706" spans="10:11" x14ac:dyDescent="0.2">
      <c r="J706" s="6"/>
      <c r="K706" s="6"/>
    </row>
    <row r="707" spans="10:11" x14ac:dyDescent="0.2">
      <c r="J707" s="6"/>
      <c r="K707" s="6"/>
    </row>
    <row r="708" spans="10:11" x14ac:dyDescent="0.2">
      <c r="J708" s="6"/>
      <c r="K708" s="6"/>
    </row>
    <row r="709" spans="10:11" x14ac:dyDescent="0.2">
      <c r="J709" s="6"/>
      <c r="K709" s="6"/>
    </row>
    <row r="710" spans="10:11" x14ac:dyDescent="0.2">
      <c r="J710" s="6"/>
      <c r="K710" s="6"/>
    </row>
    <row r="711" spans="10:11" x14ac:dyDescent="0.2">
      <c r="J711" s="6"/>
      <c r="K711" s="6"/>
    </row>
    <row r="712" spans="10:11" x14ac:dyDescent="0.2">
      <c r="J712" s="6"/>
      <c r="K712" s="6"/>
    </row>
    <row r="713" spans="10:11" x14ac:dyDescent="0.2">
      <c r="J713" s="6"/>
      <c r="K713" s="6"/>
    </row>
    <row r="714" spans="10:11" x14ac:dyDescent="0.2">
      <c r="J714" s="6"/>
      <c r="K714" s="6"/>
    </row>
    <row r="715" spans="10:11" x14ac:dyDescent="0.2">
      <c r="J715" s="6"/>
      <c r="K715" s="6"/>
    </row>
    <row r="716" spans="10:11" x14ac:dyDescent="0.2">
      <c r="J716" s="6"/>
      <c r="K716" s="6"/>
    </row>
    <row r="717" spans="10:11" x14ac:dyDescent="0.2">
      <c r="J717" s="6"/>
      <c r="K717" s="6"/>
    </row>
    <row r="718" spans="10:11" x14ac:dyDescent="0.2">
      <c r="J718" s="6"/>
      <c r="K718" s="6"/>
    </row>
    <row r="719" spans="10:11" x14ac:dyDescent="0.2">
      <c r="J719" s="6"/>
      <c r="K719" s="6"/>
    </row>
    <row r="720" spans="10:11" x14ac:dyDescent="0.2">
      <c r="J720" s="6"/>
      <c r="K720" s="6"/>
    </row>
    <row r="721" spans="10:11" x14ac:dyDescent="0.2">
      <c r="J721" s="6"/>
      <c r="K721" s="6"/>
    </row>
    <row r="722" spans="10:11" x14ac:dyDescent="0.2">
      <c r="J722" s="6"/>
      <c r="K722" s="6"/>
    </row>
    <row r="723" spans="10:11" x14ac:dyDescent="0.2">
      <c r="J723" s="6"/>
      <c r="K723" s="6"/>
    </row>
    <row r="724" spans="10:11" x14ac:dyDescent="0.2">
      <c r="J724" s="6"/>
      <c r="K724" s="6"/>
    </row>
    <row r="725" spans="10:11" x14ac:dyDescent="0.2">
      <c r="J725" s="6"/>
      <c r="K725" s="6"/>
    </row>
    <row r="726" spans="10:11" x14ac:dyDescent="0.2">
      <c r="J726" s="6"/>
      <c r="K726" s="6"/>
    </row>
    <row r="727" spans="10:11" x14ac:dyDescent="0.2">
      <c r="J727" s="6"/>
      <c r="K727" s="6"/>
    </row>
    <row r="728" spans="10:11" x14ac:dyDescent="0.2">
      <c r="J728" s="6"/>
      <c r="K728" s="6"/>
    </row>
    <row r="729" spans="10:11" x14ac:dyDescent="0.2">
      <c r="J729" s="6"/>
      <c r="K729" s="6"/>
    </row>
    <row r="730" spans="10:11" x14ac:dyDescent="0.2">
      <c r="J730" s="6"/>
      <c r="K730" s="6"/>
    </row>
    <row r="731" spans="10:11" x14ac:dyDescent="0.2">
      <c r="J731" s="6"/>
      <c r="K731" s="6"/>
    </row>
    <row r="732" spans="10:11" x14ac:dyDescent="0.2">
      <c r="J732" s="6"/>
      <c r="K732" s="6"/>
    </row>
    <row r="733" spans="10:11" x14ac:dyDescent="0.2">
      <c r="J733" s="6"/>
      <c r="K733" s="6"/>
    </row>
    <row r="734" spans="10:11" x14ac:dyDescent="0.2">
      <c r="J734" s="6"/>
      <c r="K734" s="6"/>
    </row>
    <row r="735" spans="10:11" x14ac:dyDescent="0.2">
      <c r="J735" s="6"/>
      <c r="K735" s="6"/>
    </row>
    <row r="736" spans="10:11" x14ac:dyDescent="0.2">
      <c r="J736" s="6"/>
      <c r="K736" s="6"/>
    </row>
    <row r="737" spans="10:11" x14ac:dyDescent="0.2">
      <c r="J737" s="6"/>
      <c r="K737" s="6"/>
    </row>
    <row r="738" spans="10:11" x14ac:dyDescent="0.2">
      <c r="J738" s="6"/>
      <c r="K738" s="6"/>
    </row>
    <row r="739" spans="10:11" x14ac:dyDescent="0.2">
      <c r="J739" s="6"/>
      <c r="K739" s="6"/>
    </row>
    <row r="740" spans="10:11" x14ac:dyDescent="0.2">
      <c r="J740" s="6"/>
      <c r="K740" s="6"/>
    </row>
    <row r="741" spans="10:11" x14ac:dyDescent="0.2">
      <c r="J741" s="6"/>
      <c r="K741" s="6"/>
    </row>
    <row r="742" spans="10:11" x14ac:dyDescent="0.2">
      <c r="J742" s="6"/>
      <c r="K742" s="6"/>
    </row>
    <row r="743" spans="10:11" x14ac:dyDescent="0.2">
      <c r="J743" s="6"/>
      <c r="K743" s="6"/>
    </row>
    <row r="744" spans="10:11" x14ac:dyDescent="0.2">
      <c r="J744" s="6"/>
      <c r="K744" s="6"/>
    </row>
    <row r="745" spans="10:11" x14ac:dyDescent="0.2">
      <c r="J745" s="6"/>
      <c r="K745" s="6"/>
    </row>
    <row r="746" spans="10:11" x14ac:dyDescent="0.2">
      <c r="J746" s="6"/>
      <c r="K746" s="6"/>
    </row>
    <row r="747" spans="10:11" x14ac:dyDescent="0.2">
      <c r="J747" s="6"/>
      <c r="K747" s="6"/>
    </row>
    <row r="748" spans="10:11" x14ac:dyDescent="0.2">
      <c r="J748" s="6"/>
      <c r="K748" s="6"/>
    </row>
    <row r="749" spans="10:11" x14ac:dyDescent="0.2">
      <c r="J749" s="6"/>
      <c r="K749" s="6"/>
    </row>
    <row r="750" spans="10:11" x14ac:dyDescent="0.2">
      <c r="J750" s="6"/>
      <c r="K750" s="6"/>
    </row>
    <row r="751" spans="10:11" x14ac:dyDescent="0.2">
      <c r="J751" s="6"/>
      <c r="K751" s="6"/>
    </row>
    <row r="752" spans="10:11" x14ac:dyDescent="0.2">
      <c r="J752" s="6"/>
      <c r="K752" s="6"/>
    </row>
    <row r="753" spans="10:11" x14ac:dyDescent="0.2">
      <c r="J753" s="6"/>
      <c r="K753" s="6"/>
    </row>
    <row r="754" spans="10:11" x14ac:dyDescent="0.2">
      <c r="J754" s="6"/>
      <c r="K754" s="6"/>
    </row>
    <row r="755" spans="10:11" x14ac:dyDescent="0.2">
      <c r="J755" s="6"/>
      <c r="K755" s="6"/>
    </row>
    <row r="756" spans="10:11" x14ac:dyDescent="0.2">
      <c r="J756" s="6"/>
      <c r="K756" s="6"/>
    </row>
    <row r="757" spans="10:11" x14ac:dyDescent="0.2">
      <c r="J757" s="6"/>
      <c r="K757" s="6"/>
    </row>
    <row r="758" spans="10:11" x14ac:dyDescent="0.2">
      <c r="J758" s="6"/>
      <c r="K758" s="6"/>
    </row>
    <row r="759" spans="10:11" x14ac:dyDescent="0.2">
      <c r="J759" s="6"/>
      <c r="K759" s="6"/>
    </row>
    <row r="760" spans="10:11" x14ac:dyDescent="0.2">
      <c r="J760" s="6"/>
      <c r="K760" s="6"/>
    </row>
    <row r="761" spans="10:11" x14ac:dyDescent="0.2">
      <c r="J761" s="6"/>
      <c r="K761" s="6"/>
    </row>
    <row r="762" spans="10:11" x14ac:dyDescent="0.2">
      <c r="J762" s="6"/>
      <c r="K762" s="6"/>
    </row>
    <row r="763" spans="10:11" x14ac:dyDescent="0.2">
      <c r="J763" s="6"/>
      <c r="K763" s="6"/>
    </row>
    <row r="764" spans="10:11" x14ac:dyDescent="0.2">
      <c r="J764" s="6"/>
      <c r="K764" s="6"/>
    </row>
    <row r="765" spans="10:11" x14ac:dyDescent="0.2">
      <c r="J765" s="6"/>
      <c r="K765" s="6"/>
    </row>
    <row r="766" spans="10:11" x14ac:dyDescent="0.2">
      <c r="J766" s="6"/>
      <c r="K766" s="6"/>
    </row>
    <row r="767" spans="10:11" x14ac:dyDescent="0.2">
      <c r="J767" s="6"/>
      <c r="K767" s="6"/>
    </row>
    <row r="768" spans="10:11" x14ac:dyDescent="0.2">
      <c r="J768" s="6"/>
      <c r="K768" s="6"/>
    </row>
    <row r="769" spans="10:11" x14ac:dyDescent="0.2">
      <c r="J769" s="6"/>
      <c r="K769" s="6"/>
    </row>
    <row r="770" spans="10:11" x14ac:dyDescent="0.2">
      <c r="J770" s="6"/>
      <c r="K770" s="6"/>
    </row>
    <row r="771" spans="10:11" x14ac:dyDescent="0.2">
      <c r="J771" s="6"/>
      <c r="K771" s="6"/>
    </row>
    <row r="772" spans="10:11" x14ac:dyDescent="0.2">
      <c r="J772" s="6"/>
      <c r="K772" s="6"/>
    </row>
    <row r="773" spans="10:11" x14ac:dyDescent="0.2">
      <c r="J773" s="6"/>
      <c r="K773" s="6"/>
    </row>
    <row r="774" spans="10:11" x14ac:dyDescent="0.2">
      <c r="J774" s="6"/>
      <c r="K774" s="6"/>
    </row>
    <row r="775" spans="10:11" x14ac:dyDescent="0.2">
      <c r="J775" s="6"/>
      <c r="K775" s="6"/>
    </row>
    <row r="776" spans="10:11" x14ac:dyDescent="0.2">
      <c r="J776" s="6"/>
      <c r="K776" s="6"/>
    </row>
    <row r="777" spans="10:11" x14ac:dyDescent="0.2">
      <c r="J777" s="6"/>
      <c r="K777" s="6"/>
    </row>
    <row r="778" spans="10:11" x14ac:dyDescent="0.2">
      <c r="J778" s="6"/>
      <c r="K778" s="6"/>
    </row>
    <row r="779" spans="10:11" x14ac:dyDescent="0.2">
      <c r="J779" s="6"/>
      <c r="K779" s="6"/>
    </row>
    <row r="780" spans="10:11" x14ac:dyDescent="0.2">
      <c r="J780" s="6"/>
      <c r="K780" s="6"/>
    </row>
    <row r="781" spans="10:11" x14ac:dyDescent="0.2">
      <c r="J781" s="6"/>
      <c r="K781" s="6"/>
    </row>
    <row r="782" spans="10:11" x14ac:dyDescent="0.2">
      <c r="J782" s="6"/>
      <c r="K782" s="6"/>
    </row>
    <row r="783" spans="10:11" x14ac:dyDescent="0.2">
      <c r="J783" s="6"/>
      <c r="K783" s="6"/>
    </row>
    <row r="784" spans="10:11" x14ac:dyDescent="0.2">
      <c r="J784" s="6"/>
      <c r="K784" s="6"/>
    </row>
    <row r="785" spans="10:11" x14ac:dyDescent="0.2">
      <c r="J785" s="6"/>
      <c r="K785" s="6"/>
    </row>
    <row r="786" spans="10:11" x14ac:dyDescent="0.2">
      <c r="J786" s="6"/>
      <c r="K786" s="6"/>
    </row>
    <row r="787" spans="10:11" x14ac:dyDescent="0.2">
      <c r="J787" s="6"/>
      <c r="K787" s="6"/>
    </row>
    <row r="788" spans="10:11" x14ac:dyDescent="0.2">
      <c r="J788" s="6"/>
      <c r="K788" s="6"/>
    </row>
    <row r="789" spans="10:11" x14ac:dyDescent="0.2">
      <c r="J789" s="6"/>
      <c r="K789" s="6"/>
    </row>
    <row r="790" spans="10:11" x14ac:dyDescent="0.2">
      <c r="J790" s="6"/>
      <c r="K790" s="6"/>
    </row>
    <row r="791" spans="10:11" x14ac:dyDescent="0.2">
      <c r="J791" s="6"/>
      <c r="K791" s="6"/>
    </row>
    <row r="792" spans="10:11" x14ac:dyDescent="0.2">
      <c r="J792" s="6"/>
      <c r="K792" s="6"/>
    </row>
    <row r="793" spans="10:11" x14ac:dyDescent="0.2">
      <c r="J793" s="6"/>
      <c r="K793" s="6"/>
    </row>
    <row r="794" spans="10:11" x14ac:dyDescent="0.2">
      <c r="J794" s="6"/>
      <c r="K794" s="6"/>
    </row>
    <row r="795" spans="10:11" x14ac:dyDescent="0.2">
      <c r="J795" s="6"/>
      <c r="K795" s="6"/>
    </row>
    <row r="796" spans="10:11" x14ac:dyDescent="0.2">
      <c r="J796" s="6"/>
      <c r="K796" s="6"/>
    </row>
    <row r="797" spans="10:11" x14ac:dyDescent="0.2">
      <c r="J797" s="6"/>
      <c r="K797" s="6"/>
    </row>
    <row r="798" spans="10:11" x14ac:dyDescent="0.2">
      <c r="J798" s="6"/>
      <c r="K798" s="6"/>
    </row>
    <row r="799" spans="10:11" x14ac:dyDescent="0.2">
      <c r="J799" s="6"/>
      <c r="K799" s="6"/>
    </row>
    <row r="800" spans="10:11" x14ac:dyDescent="0.2">
      <c r="J800" s="6"/>
      <c r="K800" s="6"/>
    </row>
    <row r="801" spans="10:11" x14ac:dyDescent="0.2">
      <c r="J801" s="6"/>
      <c r="K801" s="6"/>
    </row>
    <row r="802" spans="10:11" x14ac:dyDescent="0.2">
      <c r="J802" s="6"/>
      <c r="K802" s="6"/>
    </row>
    <row r="803" spans="10:11" x14ac:dyDescent="0.2">
      <c r="J803" s="6"/>
      <c r="K803" s="6"/>
    </row>
    <row r="804" spans="10:11" x14ac:dyDescent="0.2">
      <c r="J804" s="6"/>
      <c r="K804" s="6"/>
    </row>
    <row r="805" spans="10:11" x14ac:dyDescent="0.2">
      <c r="J805" s="6"/>
      <c r="K805" s="6"/>
    </row>
    <row r="806" spans="10:11" x14ac:dyDescent="0.2">
      <c r="J806" s="6"/>
      <c r="K806" s="6"/>
    </row>
    <row r="807" spans="10:11" x14ac:dyDescent="0.2">
      <c r="J807" s="6"/>
      <c r="K807" s="6"/>
    </row>
    <row r="808" spans="10:11" x14ac:dyDescent="0.2">
      <c r="J808" s="6"/>
      <c r="K808" s="6"/>
    </row>
    <row r="809" spans="10:11" x14ac:dyDescent="0.2">
      <c r="J809" s="6"/>
      <c r="K809" s="6"/>
    </row>
    <row r="810" spans="10:11" x14ac:dyDescent="0.2">
      <c r="J810" s="6"/>
      <c r="K810" s="6"/>
    </row>
    <row r="811" spans="10:11" x14ac:dyDescent="0.2">
      <c r="J811" s="6"/>
      <c r="K811" s="6"/>
    </row>
    <row r="812" spans="10:11" x14ac:dyDescent="0.2">
      <c r="J812" s="6"/>
      <c r="K812" s="6"/>
    </row>
    <row r="813" spans="10:11" x14ac:dyDescent="0.2">
      <c r="J813" s="6"/>
      <c r="K813" s="6"/>
    </row>
    <row r="814" spans="10:11" x14ac:dyDescent="0.2">
      <c r="J814" s="6"/>
      <c r="K814" s="6"/>
    </row>
    <row r="815" spans="10:11" x14ac:dyDescent="0.2">
      <c r="J815" s="6"/>
      <c r="K815" s="6"/>
    </row>
    <row r="816" spans="10:11" x14ac:dyDescent="0.2">
      <c r="J816" s="6"/>
      <c r="K816" s="6"/>
    </row>
    <row r="817" spans="10:11" x14ac:dyDescent="0.2">
      <c r="J817" s="6"/>
      <c r="K817" s="6"/>
    </row>
    <row r="818" spans="10:11" x14ac:dyDescent="0.2">
      <c r="J818" s="6"/>
      <c r="K818" s="6"/>
    </row>
    <row r="819" spans="10:11" x14ac:dyDescent="0.2">
      <c r="J819" s="6"/>
      <c r="K819" s="6"/>
    </row>
    <row r="820" spans="10:11" x14ac:dyDescent="0.2">
      <c r="J820" s="6"/>
      <c r="K820" s="6"/>
    </row>
    <row r="821" spans="10:11" x14ac:dyDescent="0.2">
      <c r="J821" s="6"/>
      <c r="K821" s="6"/>
    </row>
    <row r="822" spans="10:11" x14ac:dyDescent="0.2">
      <c r="J822" s="6"/>
      <c r="K822" s="6"/>
    </row>
    <row r="823" spans="10:11" x14ac:dyDescent="0.2">
      <c r="J823" s="6"/>
      <c r="K823" s="6"/>
    </row>
    <row r="824" spans="10:11" x14ac:dyDescent="0.2">
      <c r="J824" s="6"/>
      <c r="K824" s="6"/>
    </row>
    <row r="825" spans="10:11" x14ac:dyDescent="0.2">
      <c r="J825" s="6"/>
      <c r="K825" s="6"/>
    </row>
    <row r="826" spans="10:11" x14ac:dyDescent="0.2">
      <c r="J826" s="6"/>
      <c r="K826" s="6"/>
    </row>
    <row r="827" spans="10:11" x14ac:dyDescent="0.2">
      <c r="J827" s="6"/>
      <c r="K827" s="6"/>
    </row>
    <row r="828" spans="10:11" x14ac:dyDescent="0.2">
      <c r="J828" s="6"/>
      <c r="K828" s="6"/>
    </row>
    <row r="829" spans="10:11" x14ac:dyDescent="0.2">
      <c r="J829" s="6"/>
      <c r="K829" s="6"/>
    </row>
    <row r="830" spans="10:11" x14ac:dyDescent="0.2">
      <c r="J830" s="6"/>
      <c r="K830" s="6"/>
    </row>
    <row r="831" spans="10:11" x14ac:dyDescent="0.2">
      <c r="J831" s="6"/>
      <c r="K831" s="6"/>
    </row>
    <row r="832" spans="10:11" x14ac:dyDescent="0.2">
      <c r="J832" s="6"/>
      <c r="K832" s="6"/>
    </row>
    <row r="833" spans="10:11" x14ac:dyDescent="0.2">
      <c r="J833" s="6"/>
      <c r="K833" s="6"/>
    </row>
    <row r="834" spans="10:11" x14ac:dyDescent="0.2">
      <c r="J834" s="6"/>
      <c r="K834" s="6"/>
    </row>
    <row r="835" spans="10:11" x14ac:dyDescent="0.2">
      <c r="J835" s="6"/>
      <c r="K835" s="6"/>
    </row>
    <row r="836" spans="10:11" x14ac:dyDescent="0.2">
      <c r="J836" s="6"/>
      <c r="K836" s="6"/>
    </row>
    <row r="837" spans="10:11" x14ac:dyDescent="0.2">
      <c r="J837" s="6"/>
      <c r="K837" s="6"/>
    </row>
    <row r="838" spans="10:11" x14ac:dyDescent="0.2">
      <c r="J838" s="6"/>
      <c r="K838" s="6"/>
    </row>
    <row r="839" spans="10:11" x14ac:dyDescent="0.2">
      <c r="J839" s="6"/>
      <c r="K839" s="6"/>
    </row>
    <row r="840" spans="10:11" x14ac:dyDescent="0.2">
      <c r="J840" s="6"/>
      <c r="K840" s="6"/>
    </row>
    <row r="841" spans="10:11" x14ac:dyDescent="0.2">
      <c r="J841" s="6"/>
      <c r="K841" s="6"/>
    </row>
    <row r="842" spans="10:11" x14ac:dyDescent="0.2">
      <c r="J842" s="6"/>
      <c r="K842" s="6"/>
    </row>
    <row r="843" spans="10:11" x14ac:dyDescent="0.2">
      <c r="J843" s="6"/>
      <c r="K843" s="6"/>
    </row>
    <row r="844" spans="10:11" x14ac:dyDescent="0.2">
      <c r="J844" s="6"/>
      <c r="K844" s="6"/>
    </row>
    <row r="845" spans="10:11" x14ac:dyDescent="0.2">
      <c r="J845" s="6"/>
      <c r="K845" s="6"/>
    </row>
    <row r="846" spans="10:11" x14ac:dyDescent="0.2">
      <c r="J846" s="6"/>
      <c r="K846" s="6"/>
    </row>
    <row r="847" spans="10:11" x14ac:dyDescent="0.2">
      <c r="J847" s="6"/>
      <c r="K847" s="6"/>
    </row>
    <row r="848" spans="10:11" x14ac:dyDescent="0.2">
      <c r="J848" s="6"/>
      <c r="K848" s="6"/>
    </row>
    <row r="849" spans="10:11" x14ac:dyDescent="0.2">
      <c r="J849" s="6"/>
      <c r="K849" s="6"/>
    </row>
    <row r="850" spans="10:11" x14ac:dyDescent="0.2">
      <c r="J850" s="6"/>
      <c r="K850" s="6"/>
    </row>
    <row r="851" spans="10:11" x14ac:dyDescent="0.2">
      <c r="J851" s="6"/>
      <c r="K851" s="6"/>
    </row>
    <row r="852" spans="10:11" x14ac:dyDescent="0.2">
      <c r="J852" s="6"/>
      <c r="K852" s="6"/>
    </row>
    <row r="853" spans="10:11" x14ac:dyDescent="0.2">
      <c r="J853" s="6"/>
      <c r="K853" s="6"/>
    </row>
    <row r="854" spans="10:11" x14ac:dyDescent="0.2">
      <c r="J854" s="6"/>
      <c r="K854" s="6"/>
    </row>
    <row r="855" spans="10:11" x14ac:dyDescent="0.2">
      <c r="J855" s="6"/>
      <c r="K855" s="6"/>
    </row>
    <row r="856" spans="10:11" x14ac:dyDescent="0.2">
      <c r="J856" s="6"/>
      <c r="K856" s="6"/>
    </row>
    <row r="857" spans="10:11" x14ac:dyDescent="0.2">
      <c r="J857" s="6"/>
      <c r="K857" s="6"/>
    </row>
    <row r="858" spans="10:11" x14ac:dyDescent="0.2">
      <c r="J858" s="6"/>
      <c r="K858" s="6"/>
    </row>
    <row r="859" spans="10:11" x14ac:dyDescent="0.2">
      <c r="J859" s="6"/>
      <c r="K859" s="6"/>
    </row>
    <row r="860" spans="10:11" x14ac:dyDescent="0.2">
      <c r="J860" s="6"/>
      <c r="K860" s="6"/>
    </row>
    <row r="861" spans="10:11" x14ac:dyDescent="0.2">
      <c r="J861" s="6"/>
      <c r="K861" s="6"/>
    </row>
    <row r="862" spans="10:11" x14ac:dyDescent="0.2">
      <c r="J862" s="6"/>
      <c r="K862" s="6"/>
    </row>
    <row r="863" spans="10:11" x14ac:dyDescent="0.2">
      <c r="J863" s="6"/>
      <c r="K863" s="6"/>
    </row>
    <row r="864" spans="10:11" x14ac:dyDescent="0.2">
      <c r="J864" s="6"/>
      <c r="K864" s="6"/>
    </row>
    <row r="865" spans="10:11" x14ac:dyDescent="0.2">
      <c r="J865" s="6"/>
      <c r="K865" s="6"/>
    </row>
    <row r="866" spans="10:11" x14ac:dyDescent="0.2">
      <c r="J866" s="6"/>
      <c r="K866" s="6"/>
    </row>
    <row r="867" spans="10:11" x14ac:dyDescent="0.2">
      <c r="J867" s="6"/>
      <c r="K867" s="6"/>
    </row>
    <row r="868" spans="10:11" x14ac:dyDescent="0.2">
      <c r="J868" s="6"/>
      <c r="K868" s="6"/>
    </row>
    <row r="869" spans="10:11" x14ac:dyDescent="0.2">
      <c r="J869" s="6"/>
      <c r="K869" s="6"/>
    </row>
    <row r="870" spans="10:11" x14ac:dyDescent="0.2">
      <c r="J870" s="6"/>
      <c r="K870" s="6"/>
    </row>
    <row r="871" spans="10:11" x14ac:dyDescent="0.2">
      <c r="J871" s="6"/>
      <c r="K871" s="6"/>
    </row>
    <row r="872" spans="10:11" x14ac:dyDescent="0.2">
      <c r="J872" s="6"/>
      <c r="K872" s="6"/>
    </row>
    <row r="873" spans="10:11" x14ac:dyDescent="0.2">
      <c r="J873" s="6"/>
      <c r="K873" s="6"/>
    </row>
    <row r="874" spans="10:11" x14ac:dyDescent="0.2">
      <c r="J874" s="6"/>
      <c r="K874" s="6"/>
    </row>
    <row r="875" spans="10:11" x14ac:dyDescent="0.2">
      <c r="J875" s="6"/>
      <c r="K875" s="6"/>
    </row>
    <row r="876" spans="10:11" x14ac:dyDescent="0.2">
      <c r="J876" s="6"/>
      <c r="K876" s="6"/>
    </row>
    <row r="877" spans="10:11" x14ac:dyDescent="0.2">
      <c r="J877" s="6"/>
      <c r="K877" s="6"/>
    </row>
    <row r="878" spans="10:11" x14ac:dyDescent="0.2">
      <c r="J878" s="6"/>
      <c r="K878" s="6"/>
    </row>
    <row r="879" spans="10:11" x14ac:dyDescent="0.2">
      <c r="J879" s="6"/>
      <c r="K879" s="6"/>
    </row>
    <row r="880" spans="10:11" x14ac:dyDescent="0.2">
      <c r="J880" s="6"/>
      <c r="K880" s="6"/>
    </row>
    <row r="881" spans="10:11" x14ac:dyDescent="0.2">
      <c r="J881" s="6"/>
      <c r="K881" s="6"/>
    </row>
    <row r="882" spans="10:11" x14ac:dyDescent="0.2">
      <c r="J882" s="6"/>
      <c r="K882" s="6"/>
    </row>
    <row r="883" spans="10:11" x14ac:dyDescent="0.2">
      <c r="J883" s="6"/>
      <c r="K883" s="6"/>
    </row>
    <row r="884" spans="10:11" x14ac:dyDescent="0.2">
      <c r="J884" s="6"/>
      <c r="K884" s="6"/>
    </row>
    <row r="885" spans="10:11" x14ac:dyDescent="0.2">
      <c r="J885" s="6"/>
      <c r="K885" s="6"/>
    </row>
    <row r="886" spans="10:11" x14ac:dyDescent="0.2">
      <c r="J886" s="6"/>
      <c r="K886" s="6"/>
    </row>
    <row r="887" spans="10:11" x14ac:dyDescent="0.2">
      <c r="J887" s="6"/>
      <c r="K887" s="6"/>
    </row>
    <row r="888" spans="10:11" x14ac:dyDescent="0.2">
      <c r="J888" s="6"/>
      <c r="K888" s="6"/>
    </row>
    <row r="889" spans="10:11" x14ac:dyDescent="0.2">
      <c r="J889" s="6"/>
      <c r="K889" s="6"/>
    </row>
    <row r="890" spans="10:11" x14ac:dyDescent="0.2">
      <c r="J890" s="6"/>
      <c r="K890" s="6"/>
    </row>
    <row r="891" spans="10:11" x14ac:dyDescent="0.2">
      <c r="J891" s="6"/>
      <c r="K891" s="6"/>
    </row>
    <row r="892" spans="10:11" x14ac:dyDescent="0.2">
      <c r="J892" s="6"/>
      <c r="K892" s="6"/>
    </row>
    <row r="893" spans="10:11" x14ac:dyDescent="0.2">
      <c r="J893" s="6"/>
      <c r="K893" s="6"/>
    </row>
    <row r="894" spans="10:11" x14ac:dyDescent="0.2">
      <c r="J894" s="6"/>
      <c r="K894" s="6"/>
    </row>
    <row r="895" spans="10:11" x14ac:dyDescent="0.2">
      <c r="J895" s="6"/>
      <c r="K895" s="6"/>
    </row>
    <row r="896" spans="10:11" x14ac:dyDescent="0.2">
      <c r="J896" s="6"/>
      <c r="K896" s="6"/>
    </row>
    <row r="897" spans="10:11" x14ac:dyDescent="0.2">
      <c r="J897" s="6"/>
      <c r="K897" s="6"/>
    </row>
    <row r="898" spans="10:11" x14ac:dyDescent="0.2">
      <c r="J898" s="6"/>
      <c r="K898" s="6"/>
    </row>
    <row r="899" spans="10:11" x14ac:dyDescent="0.2">
      <c r="J899" s="6"/>
      <c r="K899" s="6"/>
    </row>
    <row r="900" spans="10:11" x14ac:dyDescent="0.2">
      <c r="J900" s="6"/>
      <c r="K900" s="6"/>
    </row>
    <row r="901" spans="10:11" x14ac:dyDescent="0.2">
      <c r="J901" s="6"/>
      <c r="K901" s="6"/>
    </row>
    <row r="902" spans="10:11" x14ac:dyDescent="0.2">
      <c r="J902" s="6"/>
      <c r="K902" s="6"/>
    </row>
    <row r="903" spans="10:11" x14ac:dyDescent="0.2">
      <c r="J903" s="6"/>
      <c r="K903" s="6"/>
    </row>
    <row r="904" spans="10:11" x14ac:dyDescent="0.2">
      <c r="J904" s="6"/>
      <c r="K904" s="6"/>
    </row>
    <row r="905" spans="10:11" x14ac:dyDescent="0.2">
      <c r="J905" s="6"/>
      <c r="K905" s="6"/>
    </row>
    <row r="906" spans="10:11" x14ac:dyDescent="0.2">
      <c r="J906" s="6"/>
      <c r="K906" s="6"/>
    </row>
    <row r="907" spans="10:11" x14ac:dyDescent="0.2">
      <c r="J907" s="6"/>
      <c r="K907" s="6"/>
    </row>
    <row r="908" spans="10:11" x14ac:dyDescent="0.2">
      <c r="J908" s="6"/>
      <c r="K908" s="6"/>
    </row>
    <row r="909" spans="10:11" x14ac:dyDescent="0.2">
      <c r="J909" s="6"/>
      <c r="K909" s="6"/>
    </row>
    <row r="910" spans="10:11" x14ac:dyDescent="0.2">
      <c r="J910" s="6"/>
      <c r="K910" s="6"/>
    </row>
    <row r="911" spans="10:11" x14ac:dyDescent="0.2">
      <c r="J911" s="6"/>
      <c r="K911" s="6"/>
    </row>
    <row r="912" spans="10:11" x14ac:dyDescent="0.2">
      <c r="J912" s="6"/>
      <c r="K912" s="6"/>
    </row>
    <row r="913" spans="10:11" x14ac:dyDescent="0.2">
      <c r="J913" s="6"/>
      <c r="K913" s="6"/>
    </row>
    <row r="914" spans="10:11" x14ac:dyDescent="0.2">
      <c r="J914" s="6"/>
      <c r="K914" s="6"/>
    </row>
    <row r="915" spans="10:11" x14ac:dyDescent="0.2">
      <c r="J915" s="6"/>
      <c r="K915" s="6"/>
    </row>
    <row r="916" spans="10:11" x14ac:dyDescent="0.2">
      <c r="J916" s="6"/>
      <c r="K916" s="6"/>
    </row>
    <row r="917" spans="10:11" x14ac:dyDescent="0.2">
      <c r="J917" s="6"/>
      <c r="K917" s="6"/>
    </row>
    <row r="918" spans="10:11" x14ac:dyDescent="0.2">
      <c r="J918" s="6"/>
      <c r="K918" s="6"/>
    </row>
    <row r="919" spans="10:11" x14ac:dyDescent="0.2">
      <c r="J919" s="6"/>
      <c r="K919" s="6"/>
    </row>
    <row r="920" spans="10:11" x14ac:dyDescent="0.2">
      <c r="J920" s="6"/>
      <c r="K920" s="6"/>
    </row>
    <row r="921" spans="10:11" x14ac:dyDescent="0.2">
      <c r="J921" s="6"/>
      <c r="K921" s="6"/>
    </row>
    <row r="922" spans="10:11" x14ac:dyDescent="0.2">
      <c r="J922" s="6"/>
      <c r="K922" s="6"/>
    </row>
    <row r="923" spans="10:11" x14ac:dyDescent="0.2">
      <c r="J923" s="6"/>
      <c r="K923" s="6"/>
    </row>
    <row r="924" spans="10:11" x14ac:dyDescent="0.2">
      <c r="J924" s="6"/>
      <c r="K924" s="6"/>
    </row>
    <row r="925" spans="10:11" x14ac:dyDescent="0.2">
      <c r="J925" s="6"/>
      <c r="K925" s="6"/>
    </row>
    <row r="926" spans="10:11" x14ac:dyDescent="0.2">
      <c r="J926" s="6"/>
      <c r="K926" s="6"/>
    </row>
    <row r="927" spans="10:11" x14ac:dyDescent="0.2">
      <c r="J927" s="6"/>
      <c r="K927" s="6"/>
    </row>
    <row r="928" spans="10:11" x14ac:dyDescent="0.2">
      <c r="J928" s="6"/>
      <c r="K928" s="6"/>
    </row>
    <row r="929" spans="10:11" x14ac:dyDescent="0.2">
      <c r="J929" s="6"/>
      <c r="K929" s="6"/>
    </row>
    <row r="930" spans="10:11" x14ac:dyDescent="0.2">
      <c r="J930" s="6"/>
      <c r="K930" s="6"/>
    </row>
    <row r="931" spans="10:11" x14ac:dyDescent="0.2">
      <c r="J931" s="6"/>
      <c r="K931" s="6"/>
    </row>
    <row r="932" spans="10:11" x14ac:dyDescent="0.2">
      <c r="J932" s="6"/>
      <c r="K932" s="6"/>
    </row>
    <row r="933" spans="10:11" x14ac:dyDescent="0.2">
      <c r="J933" s="6"/>
      <c r="K933" s="6"/>
    </row>
    <row r="934" spans="10:11" x14ac:dyDescent="0.2">
      <c r="J934" s="6"/>
      <c r="K934" s="6"/>
    </row>
    <row r="935" spans="10:11" x14ac:dyDescent="0.2">
      <c r="J935" s="6"/>
      <c r="K935" s="6"/>
    </row>
    <row r="936" spans="10:11" x14ac:dyDescent="0.2">
      <c r="J936" s="6"/>
      <c r="K936" s="6"/>
    </row>
    <row r="937" spans="10:11" x14ac:dyDescent="0.2">
      <c r="J937" s="6"/>
      <c r="K937" s="6"/>
    </row>
    <row r="938" spans="10:11" x14ac:dyDescent="0.2">
      <c r="J938" s="6"/>
      <c r="K938" s="6"/>
    </row>
    <row r="939" spans="10:11" x14ac:dyDescent="0.2">
      <c r="J939" s="6"/>
      <c r="K939" s="6"/>
    </row>
    <row r="940" spans="10:11" x14ac:dyDescent="0.2">
      <c r="J940" s="6"/>
      <c r="K940" s="6"/>
    </row>
    <row r="941" spans="10:11" x14ac:dyDescent="0.2">
      <c r="J941" s="6"/>
      <c r="K941" s="6"/>
    </row>
    <row r="942" spans="10:11" x14ac:dyDescent="0.2">
      <c r="J942" s="6"/>
      <c r="K942" s="6"/>
    </row>
    <row r="943" spans="10:11" x14ac:dyDescent="0.2">
      <c r="J943" s="6"/>
      <c r="K943" s="6"/>
    </row>
    <row r="944" spans="10:11" x14ac:dyDescent="0.2">
      <c r="J944" s="6"/>
      <c r="K944" s="6"/>
    </row>
    <row r="945" spans="10:11" x14ac:dyDescent="0.2">
      <c r="J945" s="6"/>
      <c r="K945" s="6"/>
    </row>
    <row r="946" spans="10:11" x14ac:dyDescent="0.2">
      <c r="J946" s="6"/>
      <c r="K946" s="6"/>
    </row>
    <row r="947" spans="10:11" x14ac:dyDescent="0.2">
      <c r="J947" s="6"/>
      <c r="K947" s="6"/>
    </row>
    <row r="948" spans="10:11" x14ac:dyDescent="0.2">
      <c r="J948" s="6"/>
      <c r="K948" s="6"/>
    </row>
    <row r="949" spans="10:11" x14ac:dyDescent="0.2">
      <c r="J949" s="6"/>
      <c r="K949" s="6"/>
    </row>
    <row r="950" spans="10:11" x14ac:dyDescent="0.2">
      <c r="J950" s="6"/>
      <c r="K950" s="6"/>
    </row>
    <row r="951" spans="10:11" x14ac:dyDescent="0.2">
      <c r="J951" s="6"/>
      <c r="K951" s="6"/>
    </row>
    <row r="952" spans="10:11" x14ac:dyDescent="0.2">
      <c r="J952" s="6"/>
      <c r="K952" s="6"/>
    </row>
    <row r="953" spans="10:11" x14ac:dyDescent="0.2">
      <c r="J953" s="6"/>
      <c r="K953" s="6"/>
    </row>
    <row r="954" spans="10:11" x14ac:dyDescent="0.2">
      <c r="J954" s="6"/>
      <c r="K954" s="6"/>
    </row>
    <row r="955" spans="10:11" x14ac:dyDescent="0.2">
      <c r="J955" s="6"/>
      <c r="K955" s="6"/>
    </row>
    <row r="956" spans="10:11" x14ac:dyDescent="0.2">
      <c r="J956" s="6"/>
      <c r="K956" s="6"/>
    </row>
    <row r="957" spans="10:11" x14ac:dyDescent="0.2">
      <c r="J957" s="6"/>
      <c r="K957" s="6"/>
    </row>
    <row r="958" spans="10:11" x14ac:dyDescent="0.2">
      <c r="J958" s="6"/>
      <c r="K958" s="6"/>
    </row>
    <row r="959" spans="10:11" x14ac:dyDescent="0.2">
      <c r="J959" s="6"/>
      <c r="K959" s="6"/>
    </row>
    <row r="960" spans="10:11" x14ac:dyDescent="0.2">
      <c r="J960" s="6"/>
      <c r="K960" s="6"/>
    </row>
    <row r="961" spans="10:11" x14ac:dyDescent="0.2">
      <c r="J961" s="6"/>
      <c r="K961" s="6"/>
    </row>
    <row r="962" spans="10:11" x14ac:dyDescent="0.2">
      <c r="J962" s="6"/>
      <c r="K962" s="6"/>
    </row>
    <row r="963" spans="10:11" x14ac:dyDescent="0.2">
      <c r="J963" s="6"/>
      <c r="K963" s="6"/>
    </row>
    <row r="964" spans="10:11" x14ac:dyDescent="0.2">
      <c r="J964" s="6"/>
      <c r="K964" s="6"/>
    </row>
    <row r="965" spans="10:11" x14ac:dyDescent="0.2">
      <c r="J965" s="6"/>
      <c r="K965" s="6"/>
    </row>
    <row r="966" spans="10:11" x14ac:dyDescent="0.2">
      <c r="J966" s="6"/>
      <c r="K966" s="6"/>
    </row>
    <row r="967" spans="10:11" x14ac:dyDescent="0.2">
      <c r="J967" s="6"/>
      <c r="K967" s="6"/>
    </row>
    <row r="968" spans="10:11" x14ac:dyDescent="0.2">
      <c r="J968" s="6"/>
      <c r="K968" s="6"/>
    </row>
    <row r="969" spans="10:11" x14ac:dyDescent="0.2">
      <c r="J969" s="6"/>
      <c r="K969" s="6"/>
    </row>
    <row r="970" spans="10:11" x14ac:dyDescent="0.2">
      <c r="J970" s="6"/>
      <c r="K970" s="6"/>
    </row>
    <row r="971" spans="10:11" x14ac:dyDescent="0.2">
      <c r="J971" s="6"/>
      <c r="K971" s="6"/>
    </row>
    <row r="972" spans="10:11" x14ac:dyDescent="0.2">
      <c r="J972" s="6"/>
      <c r="K972" s="6"/>
    </row>
    <row r="973" spans="10:11" x14ac:dyDescent="0.2">
      <c r="J973" s="6"/>
      <c r="K973" s="6"/>
    </row>
    <row r="974" spans="10:11" x14ac:dyDescent="0.2">
      <c r="J974" s="6"/>
      <c r="K974" s="6"/>
    </row>
    <row r="975" spans="10:11" x14ac:dyDescent="0.2">
      <c r="J975" s="6"/>
      <c r="K975" s="6"/>
    </row>
    <row r="976" spans="10:11" x14ac:dyDescent="0.2">
      <c r="J976" s="6"/>
      <c r="K976" s="6"/>
    </row>
    <row r="977" spans="10:11" x14ac:dyDescent="0.2">
      <c r="J977" s="6"/>
      <c r="K977" s="6"/>
    </row>
    <row r="978" spans="10:11" x14ac:dyDescent="0.2">
      <c r="J978" s="6"/>
      <c r="K978" s="6"/>
    </row>
    <row r="979" spans="10:11" x14ac:dyDescent="0.2">
      <c r="J979" s="6"/>
      <c r="K979" s="6"/>
    </row>
    <row r="980" spans="10:11" x14ac:dyDescent="0.2">
      <c r="J980" s="6"/>
      <c r="K980" s="6"/>
    </row>
    <row r="981" spans="10:11" x14ac:dyDescent="0.2">
      <c r="J981" s="6"/>
      <c r="K981" s="6"/>
    </row>
    <row r="982" spans="10:11" x14ac:dyDescent="0.2">
      <c r="J982" s="6"/>
      <c r="K982" s="6"/>
    </row>
    <row r="983" spans="10:11" x14ac:dyDescent="0.2">
      <c r="J983" s="6"/>
      <c r="K983" s="6"/>
    </row>
    <row r="984" spans="10:11" x14ac:dyDescent="0.2">
      <c r="J984" s="6"/>
      <c r="K984" s="6"/>
    </row>
    <row r="985" spans="10:11" x14ac:dyDescent="0.2">
      <c r="J985" s="6"/>
      <c r="K985" s="6"/>
    </row>
    <row r="986" spans="10:11" x14ac:dyDescent="0.2">
      <c r="J986" s="6"/>
      <c r="K986" s="6"/>
    </row>
    <row r="987" spans="10:11" x14ac:dyDescent="0.2">
      <c r="J987" s="6"/>
      <c r="K987" s="6"/>
    </row>
    <row r="988" spans="10:11" x14ac:dyDescent="0.2">
      <c r="J988" s="6"/>
      <c r="K988" s="6"/>
    </row>
    <row r="989" spans="10:11" x14ac:dyDescent="0.2">
      <c r="J989" s="6"/>
      <c r="K989" s="6"/>
    </row>
    <row r="990" spans="10:11" x14ac:dyDescent="0.2">
      <c r="J990" s="6"/>
      <c r="K990" s="6"/>
    </row>
    <row r="991" spans="10:11" x14ac:dyDescent="0.2">
      <c r="J991" s="6"/>
      <c r="K991" s="6"/>
    </row>
    <row r="992" spans="10:11" x14ac:dyDescent="0.2">
      <c r="J992" s="6"/>
      <c r="K992" s="6"/>
    </row>
    <row r="993" spans="10:11" x14ac:dyDescent="0.2">
      <c r="J993" s="6"/>
      <c r="K993" s="6"/>
    </row>
    <row r="994" spans="10:11" x14ac:dyDescent="0.2">
      <c r="J994" s="6"/>
      <c r="K994" s="6"/>
    </row>
    <row r="995" spans="10:11" x14ac:dyDescent="0.2">
      <c r="J995" s="6"/>
      <c r="K995" s="6"/>
    </row>
    <row r="996" spans="10:11" x14ac:dyDescent="0.2">
      <c r="J996" s="6"/>
      <c r="K996" s="6"/>
    </row>
    <row r="997" spans="10:11" x14ac:dyDescent="0.2">
      <c r="J997" s="6"/>
      <c r="K997" s="6"/>
    </row>
    <row r="998" spans="10:11" x14ac:dyDescent="0.2">
      <c r="J998" s="6"/>
      <c r="K998" s="6"/>
    </row>
    <row r="999" spans="10:11" x14ac:dyDescent="0.2">
      <c r="J999" s="6"/>
      <c r="K999" s="6"/>
    </row>
    <row r="1000" spans="10:11" x14ac:dyDescent="0.2">
      <c r="J1000" s="6"/>
      <c r="K1000" s="6"/>
    </row>
    <row r="1001" spans="10:11" x14ac:dyDescent="0.2">
      <c r="J1001" s="6"/>
      <c r="K1001" s="6"/>
    </row>
    <row r="1002" spans="10:11" x14ac:dyDescent="0.2">
      <c r="J1002" s="6"/>
      <c r="K1002" s="6"/>
    </row>
    <row r="1003" spans="10:11" x14ac:dyDescent="0.2">
      <c r="J1003" s="6"/>
      <c r="K1003" s="6"/>
    </row>
    <row r="1004" spans="10:11" x14ac:dyDescent="0.2">
      <c r="J1004" s="6"/>
      <c r="K1004" s="6"/>
    </row>
    <row r="1005" spans="10:11" x14ac:dyDescent="0.2">
      <c r="J1005" s="6"/>
      <c r="K1005" s="6"/>
    </row>
    <row r="1006" spans="10:11" x14ac:dyDescent="0.2">
      <c r="J1006" s="6"/>
      <c r="K1006" s="6"/>
    </row>
    <row r="1007" spans="10:11" x14ac:dyDescent="0.2">
      <c r="J1007" s="6"/>
      <c r="K1007" s="6"/>
    </row>
    <row r="1008" spans="10:11" x14ac:dyDescent="0.2">
      <c r="J1008" s="6"/>
      <c r="K1008" s="6"/>
    </row>
    <row r="1009" spans="10:11" x14ac:dyDescent="0.2">
      <c r="J1009" s="6"/>
      <c r="K1009" s="6"/>
    </row>
    <row r="1010" spans="10:11" x14ac:dyDescent="0.2">
      <c r="J1010" s="6"/>
      <c r="K1010" s="6"/>
    </row>
    <row r="1011" spans="10:11" x14ac:dyDescent="0.2">
      <c r="J1011" s="6"/>
      <c r="K1011" s="6"/>
    </row>
    <row r="1012" spans="10:11" x14ac:dyDescent="0.2">
      <c r="J1012" s="6"/>
      <c r="K1012" s="6"/>
    </row>
    <row r="1013" spans="10:11" x14ac:dyDescent="0.2">
      <c r="J1013" s="6"/>
      <c r="K1013" s="6"/>
    </row>
    <row r="1014" spans="10:11" x14ac:dyDescent="0.2">
      <c r="J1014" s="6"/>
      <c r="K1014" s="6"/>
    </row>
    <row r="1015" spans="10:11" x14ac:dyDescent="0.2">
      <c r="J1015" s="6"/>
      <c r="K1015" s="6"/>
    </row>
    <row r="1016" spans="10:11" x14ac:dyDescent="0.2">
      <c r="J1016" s="6"/>
      <c r="K1016" s="6"/>
    </row>
    <row r="1017" spans="10:11" x14ac:dyDescent="0.2">
      <c r="J1017" s="6"/>
      <c r="K1017" s="6"/>
    </row>
    <row r="1018" spans="10:11" x14ac:dyDescent="0.2">
      <c r="J1018" s="6"/>
      <c r="K1018" s="6"/>
    </row>
    <row r="1019" spans="10:11" x14ac:dyDescent="0.2">
      <c r="J1019" s="6"/>
      <c r="K1019" s="6"/>
    </row>
    <row r="1020" spans="10:11" x14ac:dyDescent="0.2">
      <c r="J1020" s="6"/>
      <c r="K1020" s="6"/>
    </row>
    <row r="1021" spans="10:11" x14ac:dyDescent="0.2">
      <c r="J1021" s="6"/>
      <c r="K1021" s="6"/>
    </row>
    <row r="1022" spans="10:11" x14ac:dyDescent="0.2">
      <c r="J1022" s="6"/>
      <c r="K1022" s="6"/>
    </row>
    <row r="1023" spans="10:11" x14ac:dyDescent="0.2">
      <c r="J1023" s="6"/>
      <c r="K1023" s="6"/>
    </row>
    <row r="1024" spans="10:11" x14ac:dyDescent="0.2">
      <c r="J1024" s="6"/>
      <c r="K1024" s="6"/>
    </row>
    <row r="1025" spans="10:11" x14ac:dyDescent="0.2">
      <c r="J1025" s="6"/>
      <c r="K1025" s="6"/>
    </row>
    <row r="1026" spans="10:11" x14ac:dyDescent="0.2">
      <c r="J1026" s="6"/>
      <c r="K1026" s="6"/>
    </row>
    <row r="1027" spans="10:11" x14ac:dyDescent="0.2">
      <c r="J1027" s="6"/>
      <c r="K1027" s="6"/>
    </row>
    <row r="1028" spans="10:11" x14ac:dyDescent="0.2">
      <c r="J1028" s="6"/>
      <c r="K1028" s="6"/>
    </row>
    <row r="1029" spans="10:11" x14ac:dyDescent="0.2">
      <c r="J1029" s="6"/>
      <c r="K1029" s="6"/>
    </row>
    <row r="1030" spans="10:11" x14ac:dyDescent="0.2">
      <c r="J1030" s="6"/>
      <c r="K1030" s="6"/>
    </row>
    <row r="1031" spans="10:11" x14ac:dyDescent="0.2">
      <c r="J1031" s="6"/>
      <c r="K1031" s="6"/>
    </row>
    <row r="1032" spans="10:11" x14ac:dyDescent="0.2">
      <c r="J1032" s="6"/>
      <c r="K1032" s="6"/>
    </row>
    <row r="1033" spans="10:11" x14ac:dyDescent="0.2">
      <c r="J1033" s="6"/>
      <c r="K1033" s="6"/>
    </row>
    <row r="1034" spans="10:11" x14ac:dyDescent="0.2">
      <c r="J1034" s="6"/>
      <c r="K1034" s="6"/>
    </row>
    <row r="1035" spans="10:11" x14ac:dyDescent="0.2">
      <c r="J1035" s="6"/>
      <c r="K1035" s="6"/>
    </row>
    <row r="1036" spans="10:11" x14ac:dyDescent="0.2">
      <c r="J1036" s="6"/>
      <c r="K1036" s="6"/>
    </row>
    <row r="1037" spans="10:11" x14ac:dyDescent="0.2">
      <c r="J1037" s="6"/>
      <c r="K1037" s="6"/>
    </row>
    <row r="1038" spans="10:11" x14ac:dyDescent="0.2">
      <c r="J1038" s="6"/>
      <c r="K1038" s="6"/>
    </row>
    <row r="1039" spans="10:11" x14ac:dyDescent="0.2">
      <c r="J1039" s="6"/>
      <c r="K1039" s="6"/>
    </row>
    <row r="1040" spans="10:11" x14ac:dyDescent="0.2">
      <c r="J1040" s="6"/>
      <c r="K1040" s="6"/>
    </row>
    <row r="1041" spans="10:11" x14ac:dyDescent="0.2">
      <c r="J1041" s="6"/>
      <c r="K1041" s="6"/>
    </row>
    <row r="1042" spans="10:11" x14ac:dyDescent="0.2">
      <c r="J1042" s="6"/>
      <c r="K1042" s="6"/>
    </row>
    <row r="1043" spans="10:11" x14ac:dyDescent="0.2">
      <c r="J1043" s="6"/>
      <c r="K1043" s="6"/>
    </row>
    <row r="1044" spans="10:11" x14ac:dyDescent="0.2">
      <c r="J1044" s="6"/>
      <c r="K1044" s="6"/>
    </row>
    <row r="1045" spans="10:11" x14ac:dyDescent="0.2">
      <c r="J1045" s="6"/>
      <c r="K1045" s="6"/>
    </row>
    <row r="1046" spans="10:11" x14ac:dyDescent="0.2">
      <c r="J1046" s="6"/>
      <c r="K1046" s="6"/>
    </row>
    <row r="1047" spans="10:11" x14ac:dyDescent="0.2">
      <c r="J1047" s="6"/>
      <c r="K1047" s="6"/>
    </row>
    <row r="1048" spans="10:11" x14ac:dyDescent="0.2">
      <c r="J1048" s="6"/>
      <c r="K1048" s="6"/>
    </row>
    <row r="1049" spans="10:11" x14ac:dyDescent="0.2">
      <c r="J1049" s="6"/>
      <c r="K1049" s="6"/>
    </row>
    <row r="1050" spans="10:11" x14ac:dyDescent="0.2">
      <c r="J1050" s="6"/>
      <c r="K1050" s="6"/>
    </row>
    <row r="1051" spans="10:11" x14ac:dyDescent="0.2">
      <c r="J1051" s="6"/>
      <c r="K1051" s="6"/>
    </row>
    <row r="1052" spans="10:11" x14ac:dyDescent="0.2">
      <c r="J1052" s="6"/>
      <c r="K1052" s="6"/>
    </row>
    <row r="1053" spans="10:11" x14ac:dyDescent="0.2">
      <c r="J1053" s="6"/>
      <c r="K1053" s="6"/>
    </row>
    <row r="1054" spans="10:11" x14ac:dyDescent="0.2">
      <c r="J1054" s="6"/>
      <c r="K1054" s="6"/>
    </row>
    <row r="1055" spans="10:11" x14ac:dyDescent="0.2">
      <c r="J1055" s="6"/>
      <c r="K1055" s="6"/>
    </row>
    <row r="1056" spans="10:11" x14ac:dyDescent="0.2">
      <c r="J1056" s="6"/>
      <c r="K1056" s="6"/>
    </row>
    <row r="1057" spans="10:11" x14ac:dyDescent="0.2">
      <c r="J1057" s="6"/>
      <c r="K1057" s="6"/>
    </row>
    <row r="1058" spans="10:11" x14ac:dyDescent="0.2">
      <c r="J1058" s="6"/>
      <c r="K1058" s="6"/>
    </row>
    <row r="1059" spans="10:11" x14ac:dyDescent="0.2">
      <c r="J1059" s="6"/>
      <c r="K1059" s="6"/>
    </row>
    <row r="1060" spans="10:11" x14ac:dyDescent="0.2">
      <c r="J1060" s="6"/>
      <c r="K1060" s="6"/>
    </row>
    <row r="1061" spans="10:11" x14ac:dyDescent="0.2">
      <c r="J1061" s="6"/>
      <c r="K1061" s="6"/>
    </row>
    <row r="1062" spans="10:11" x14ac:dyDescent="0.2">
      <c r="J1062" s="6"/>
      <c r="K1062" s="6"/>
    </row>
    <row r="1063" spans="10:11" x14ac:dyDescent="0.2">
      <c r="J1063" s="6"/>
      <c r="K1063" s="6"/>
    </row>
    <row r="1064" spans="10:11" x14ac:dyDescent="0.2">
      <c r="J1064" s="6"/>
      <c r="K1064" s="6"/>
    </row>
    <row r="1065" spans="10:11" x14ac:dyDescent="0.2">
      <c r="J1065" s="6"/>
      <c r="K1065" s="6"/>
    </row>
    <row r="1066" spans="10:11" x14ac:dyDescent="0.2">
      <c r="J1066" s="6"/>
      <c r="K1066" s="6"/>
    </row>
    <row r="1067" spans="10:11" x14ac:dyDescent="0.2">
      <c r="J1067" s="6"/>
      <c r="K1067" s="6"/>
    </row>
    <row r="1068" spans="10:11" x14ac:dyDescent="0.2">
      <c r="J1068" s="6"/>
      <c r="K1068" s="6"/>
    </row>
    <row r="1069" spans="10:11" x14ac:dyDescent="0.2">
      <c r="J1069" s="6"/>
      <c r="K1069" s="6"/>
    </row>
    <row r="1070" spans="10:11" x14ac:dyDescent="0.2">
      <c r="J1070" s="6"/>
      <c r="K1070" s="6"/>
    </row>
    <row r="1071" spans="10:11" x14ac:dyDescent="0.2">
      <c r="J1071" s="6"/>
      <c r="K1071" s="6"/>
    </row>
    <row r="1072" spans="10:11" x14ac:dyDescent="0.2">
      <c r="J1072" s="6"/>
      <c r="K1072" s="6"/>
    </row>
    <row r="1073" spans="10:11" x14ac:dyDescent="0.2">
      <c r="J1073" s="6"/>
      <c r="K1073" s="6"/>
    </row>
    <row r="1074" spans="10:11" x14ac:dyDescent="0.2">
      <c r="J1074" s="6"/>
      <c r="K1074" s="6"/>
    </row>
    <row r="1075" spans="10:11" x14ac:dyDescent="0.2">
      <c r="J1075" s="6"/>
      <c r="K1075" s="6"/>
    </row>
    <row r="1076" spans="10:11" x14ac:dyDescent="0.2">
      <c r="J1076" s="6"/>
      <c r="K1076" s="6"/>
    </row>
    <row r="1077" spans="10:11" x14ac:dyDescent="0.2">
      <c r="J1077" s="6"/>
      <c r="K1077" s="6"/>
    </row>
    <row r="1078" spans="10:11" x14ac:dyDescent="0.2">
      <c r="J1078" s="6"/>
      <c r="K1078" s="6"/>
    </row>
    <row r="1079" spans="10:11" x14ac:dyDescent="0.2">
      <c r="J1079" s="6"/>
      <c r="K1079" s="6"/>
    </row>
    <row r="1080" spans="10:11" x14ac:dyDescent="0.2">
      <c r="J1080" s="6"/>
      <c r="K1080" s="6"/>
    </row>
    <row r="1081" spans="10:11" x14ac:dyDescent="0.2">
      <c r="J1081" s="6"/>
      <c r="K1081" s="6"/>
    </row>
    <row r="1082" spans="10:11" x14ac:dyDescent="0.2">
      <c r="J1082" s="6"/>
      <c r="K1082" s="6"/>
    </row>
    <row r="1083" spans="10:11" x14ac:dyDescent="0.2">
      <c r="J1083" s="6"/>
      <c r="K1083" s="6"/>
    </row>
    <row r="1084" spans="10:11" x14ac:dyDescent="0.2">
      <c r="J1084" s="6"/>
      <c r="K1084" s="6"/>
    </row>
    <row r="1085" spans="10:11" x14ac:dyDescent="0.2">
      <c r="J1085" s="6"/>
      <c r="K1085" s="6"/>
    </row>
    <row r="1086" spans="10:11" x14ac:dyDescent="0.2">
      <c r="J1086" s="6"/>
      <c r="K1086" s="6"/>
    </row>
    <row r="1087" spans="10:11" x14ac:dyDescent="0.2">
      <c r="J1087" s="6"/>
      <c r="K1087" s="6"/>
    </row>
    <row r="1088" spans="10:11" x14ac:dyDescent="0.2">
      <c r="J1088" s="6"/>
      <c r="K1088" s="6"/>
    </row>
    <row r="1089" spans="10:11" x14ac:dyDescent="0.2">
      <c r="J1089" s="6"/>
      <c r="K1089" s="6"/>
    </row>
    <row r="1090" spans="10:11" x14ac:dyDescent="0.2">
      <c r="J1090" s="6"/>
      <c r="K1090" s="6"/>
    </row>
    <row r="1091" spans="10:11" x14ac:dyDescent="0.2">
      <c r="J1091" s="6"/>
      <c r="K1091" s="6"/>
    </row>
    <row r="1092" spans="10:11" x14ac:dyDescent="0.2">
      <c r="J1092" s="6"/>
      <c r="K1092" s="6"/>
    </row>
    <row r="1093" spans="10:11" x14ac:dyDescent="0.2">
      <c r="J1093" s="6"/>
      <c r="K1093" s="6"/>
    </row>
    <row r="1094" spans="10:11" x14ac:dyDescent="0.2">
      <c r="J1094" s="6"/>
      <c r="K1094" s="6"/>
    </row>
    <row r="1095" spans="10:11" x14ac:dyDescent="0.2">
      <c r="J1095" s="6"/>
      <c r="K1095" s="6"/>
    </row>
    <row r="1096" spans="10:11" x14ac:dyDescent="0.2">
      <c r="J1096" s="6"/>
      <c r="K1096" s="6"/>
    </row>
    <row r="1097" spans="10:11" x14ac:dyDescent="0.2">
      <c r="J1097" s="6"/>
      <c r="K1097" s="6"/>
    </row>
    <row r="1098" spans="10:11" x14ac:dyDescent="0.2">
      <c r="J1098" s="6"/>
      <c r="K1098" s="6"/>
    </row>
    <row r="1099" spans="10:11" x14ac:dyDescent="0.2">
      <c r="J1099" s="6"/>
      <c r="K1099" s="6"/>
    </row>
    <row r="1100" spans="10:11" x14ac:dyDescent="0.2">
      <c r="J1100" s="6"/>
      <c r="K1100" s="6"/>
    </row>
    <row r="1101" spans="10:11" x14ac:dyDescent="0.2">
      <c r="J1101" s="6"/>
      <c r="K1101" s="6"/>
    </row>
    <row r="1102" spans="10:11" x14ac:dyDescent="0.2">
      <c r="J1102" s="6"/>
      <c r="K1102" s="6"/>
    </row>
    <row r="1103" spans="10:11" x14ac:dyDescent="0.2">
      <c r="J1103" s="6"/>
      <c r="K1103" s="6"/>
    </row>
    <row r="1104" spans="10:11" x14ac:dyDescent="0.2">
      <c r="J1104" s="6"/>
      <c r="K1104" s="6"/>
    </row>
    <row r="1105" spans="10:11" x14ac:dyDescent="0.2">
      <c r="J1105" s="6"/>
      <c r="K1105" s="6"/>
    </row>
    <row r="1106" spans="10:11" x14ac:dyDescent="0.2">
      <c r="J1106" s="6"/>
      <c r="K1106" s="6"/>
    </row>
    <row r="1107" spans="10:11" x14ac:dyDescent="0.2">
      <c r="J1107" s="6"/>
      <c r="K1107" s="6"/>
    </row>
    <row r="1108" spans="10:11" x14ac:dyDescent="0.2">
      <c r="J1108" s="6"/>
      <c r="K1108" s="6"/>
    </row>
    <row r="1109" spans="10:11" x14ac:dyDescent="0.2">
      <c r="J1109" s="6"/>
      <c r="K1109" s="6"/>
    </row>
    <row r="1110" spans="10:11" x14ac:dyDescent="0.2">
      <c r="J1110" s="6"/>
      <c r="K1110" s="6"/>
    </row>
    <row r="1111" spans="10:11" x14ac:dyDescent="0.2">
      <c r="J1111" s="6"/>
      <c r="K1111" s="6"/>
    </row>
    <row r="1112" spans="10:11" x14ac:dyDescent="0.2">
      <c r="J1112" s="6"/>
      <c r="K1112" s="6"/>
    </row>
    <row r="1113" spans="10:11" x14ac:dyDescent="0.2">
      <c r="J1113" s="6"/>
      <c r="K1113" s="6"/>
    </row>
    <row r="1114" spans="10:11" x14ac:dyDescent="0.2">
      <c r="J1114" s="6"/>
      <c r="K1114" s="6"/>
    </row>
    <row r="1115" spans="10:11" x14ac:dyDescent="0.2">
      <c r="J1115" s="6"/>
      <c r="K1115" s="6"/>
    </row>
    <row r="1116" spans="10:11" x14ac:dyDescent="0.2">
      <c r="J1116" s="6"/>
      <c r="K1116" s="6"/>
    </row>
    <row r="1117" spans="10:11" x14ac:dyDescent="0.2">
      <c r="J1117" s="6"/>
      <c r="K1117" s="6"/>
    </row>
    <row r="1118" spans="10:11" x14ac:dyDescent="0.2">
      <c r="J1118" s="6"/>
      <c r="K1118" s="6"/>
    </row>
    <row r="1119" spans="10:11" x14ac:dyDescent="0.2">
      <c r="J1119" s="6"/>
      <c r="K1119" s="6"/>
    </row>
    <row r="1120" spans="10:11" x14ac:dyDescent="0.2">
      <c r="J1120" s="6"/>
      <c r="K1120" s="6"/>
    </row>
    <row r="1121" spans="10:11" x14ac:dyDescent="0.2">
      <c r="J1121" s="6"/>
      <c r="K1121" s="6"/>
    </row>
    <row r="1122" spans="10:11" x14ac:dyDescent="0.2">
      <c r="J1122" s="6"/>
      <c r="K1122" s="6"/>
    </row>
    <row r="1123" spans="10:11" x14ac:dyDescent="0.2">
      <c r="J1123" s="6"/>
      <c r="K1123" s="6"/>
    </row>
    <row r="1124" spans="10:11" x14ac:dyDescent="0.2">
      <c r="J1124" s="6"/>
      <c r="K1124" s="6"/>
    </row>
    <row r="1125" spans="10:11" x14ac:dyDescent="0.2">
      <c r="J1125" s="6"/>
      <c r="K1125" s="6"/>
    </row>
    <row r="1126" spans="10:11" x14ac:dyDescent="0.2">
      <c r="J1126" s="6"/>
      <c r="K1126" s="6"/>
    </row>
    <row r="1127" spans="10:11" x14ac:dyDescent="0.2">
      <c r="J1127" s="6"/>
      <c r="K1127" s="6"/>
    </row>
    <row r="1128" spans="10:11" x14ac:dyDescent="0.2">
      <c r="J1128" s="6"/>
      <c r="K1128" s="6"/>
    </row>
    <row r="1129" spans="10:11" x14ac:dyDescent="0.2">
      <c r="J1129" s="6"/>
      <c r="K1129" s="6"/>
    </row>
    <row r="1130" spans="10:11" x14ac:dyDescent="0.2">
      <c r="J1130" s="6"/>
      <c r="K1130" s="6"/>
    </row>
    <row r="1131" spans="10:11" x14ac:dyDescent="0.2">
      <c r="J1131" s="6"/>
      <c r="K1131" s="6"/>
    </row>
    <row r="1132" spans="10:11" x14ac:dyDescent="0.2">
      <c r="J1132" s="6"/>
      <c r="K1132" s="6"/>
    </row>
    <row r="1133" spans="10:11" x14ac:dyDescent="0.2">
      <c r="J1133" s="6"/>
      <c r="K1133" s="6"/>
    </row>
    <row r="1134" spans="10:11" x14ac:dyDescent="0.2">
      <c r="J1134" s="6"/>
      <c r="K1134" s="6"/>
    </row>
    <row r="1135" spans="10:11" x14ac:dyDescent="0.2">
      <c r="J1135" s="6"/>
      <c r="K1135" s="6"/>
    </row>
    <row r="1136" spans="10:11" x14ac:dyDescent="0.2">
      <c r="J1136" s="6"/>
      <c r="K1136" s="6"/>
    </row>
    <row r="1137" spans="10:11" x14ac:dyDescent="0.2">
      <c r="J1137" s="6"/>
      <c r="K1137" s="6"/>
    </row>
    <row r="1138" spans="10:11" x14ac:dyDescent="0.2">
      <c r="J1138" s="6"/>
      <c r="K1138" s="6"/>
    </row>
    <row r="1139" spans="10:11" x14ac:dyDescent="0.2">
      <c r="J1139" s="6"/>
      <c r="K1139" s="6"/>
    </row>
    <row r="1140" spans="10:11" x14ac:dyDescent="0.2">
      <c r="J1140" s="6"/>
      <c r="K1140" s="6"/>
    </row>
    <row r="1141" spans="10:11" x14ac:dyDescent="0.2">
      <c r="J1141" s="6"/>
      <c r="K1141" s="6"/>
    </row>
    <row r="1142" spans="10:11" x14ac:dyDescent="0.2">
      <c r="J1142" s="6"/>
      <c r="K1142" s="6"/>
    </row>
    <row r="1143" spans="10:11" x14ac:dyDescent="0.2">
      <c r="J1143" s="6"/>
      <c r="K1143" s="6"/>
    </row>
    <row r="1144" spans="10:11" x14ac:dyDescent="0.2">
      <c r="J1144" s="6"/>
      <c r="K1144" s="6"/>
    </row>
    <row r="1145" spans="10:11" x14ac:dyDescent="0.2">
      <c r="J1145" s="6"/>
      <c r="K1145" s="6"/>
    </row>
    <row r="1146" spans="10:11" x14ac:dyDescent="0.2">
      <c r="J1146" s="6"/>
      <c r="K1146" s="6"/>
    </row>
    <row r="1147" spans="10:11" x14ac:dyDescent="0.2">
      <c r="J1147" s="6"/>
      <c r="K1147" s="6"/>
    </row>
    <row r="1148" spans="10:11" x14ac:dyDescent="0.2">
      <c r="J1148" s="6"/>
      <c r="K1148" s="6"/>
    </row>
    <row r="1149" spans="10:11" x14ac:dyDescent="0.2">
      <c r="J1149" s="6"/>
      <c r="K1149" s="6"/>
    </row>
    <row r="1150" spans="10:11" x14ac:dyDescent="0.2">
      <c r="J1150" s="6"/>
      <c r="K1150" s="6"/>
    </row>
    <row r="1151" spans="10:11" x14ac:dyDescent="0.2">
      <c r="J1151" s="6"/>
      <c r="K1151" s="6"/>
    </row>
    <row r="1152" spans="10:11" x14ac:dyDescent="0.2">
      <c r="J1152" s="6"/>
      <c r="K1152" s="6"/>
    </row>
    <row r="1153" spans="10:11" x14ac:dyDescent="0.2">
      <c r="J1153" s="6"/>
      <c r="K1153" s="6"/>
    </row>
    <row r="1154" spans="10:11" x14ac:dyDescent="0.2">
      <c r="J1154" s="6"/>
      <c r="K1154" s="6"/>
    </row>
    <row r="1155" spans="10:11" x14ac:dyDescent="0.2">
      <c r="J1155" s="6"/>
      <c r="K1155" s="6"/>
    </row>
    <row r="1156" spans="10:11" x14ac:dyDescent="0.2">
      <c r="J1156" s="6"/>
      <c r="K1156" s="6"/>
    </row>
    <row r="1157" spans="10:11" x14ac:dyDescent="0.2">
      <c r="J1157" s="6"/>
      <c r="K1157" s="6"/>
    </row>
    <row r="1158" spans="10:11" x14ac:dyDescent="0.2">
      <c r="J1158" s="6"/>
      <c r="K1158" s="6"/>
    </row>
    <row r="1159" spans="10:11" x14ac:dyDescent="0.2">
      <c r="J1159" s="6"/>
      <c r="K1159" s="6"/>
    </row>
    <row r="1160" spans="10:11" x14ac:dyDescent="0.2">
      <c r="J1160" s="6"/>
      <c r="K1160" s="6"/>
    </row>
    <row r="1161" spans="10:11" x14ac:dyDescent="0.2">
      <c r="J1161" s="6"/>
      <c r="K1161" s="6"/>
    </row>
    <row r="1162" spans="10:11" x14ac:dyDescent="0.2">
      <c r="J1162" s="6"/>
      <c r="K1162" s="6"/>
    </row>
    <row r="1163" spans="10:11" x14ac:dyDescent="0.2">
      <c r="J1163" s="6"/>
      <c r="K1163" s="6"/>
    </row>
    <row r="1164" spans="10:11" x14ac:dyDescent="0.2">
      <c r="J1164" s="6"/>
      <c r="K1164" s="6"/>
    </row>
    <row r="1165" spans="10:11" x14ac:dyDescent="0.2">
      <c r="J1165" s="6"/>
      <c r="K1165" s="6"/>
    </row>
    <row r="1166" spans="10:11" x14ac:dyDescent="0.2">
      <c r="J1166" s="6"/>
      <c r="K1166" s="6"/>
    </row>
    <row r="1167" spans="10:11" x14ac:dyDescent="0.2">
      <c r="J1167" s="6"/>
      <c r="K1167" s="6"/>
    </row>
    <row r="1168" spans="10:11" x14ac:dyDescent="0.2">
      <c r="J1168" s="6"/>
      <c r="K1168" s="6"/>
    </row>
    <row r="1169" spans="10:11" x14ac:dyDescent="0.2">
      <c r="J1169" s="6"/>
      <c r="K1169" s="6"/>
    </row>
    <row r="1170" spans="10:11" x14ac:dyDescent="0.2">
      <c r="J1170" s="6"/>
      <c r="K1170" s="6"/>
    </row>
    <row r="1171" spans="10:11" x14ac:dyDescent="0.2">
      <c r="J1171" s="6"/>
      <c r="K1171" s="6"/>
    </row>
    <row r="1172" spans="10:11" x14ac:dyDescent="0.2">
      <c r="J1172" s="6"/>
      <c r="K1172" s="6"/>
    </row>
    <row r="1173" spans="10:11" x14ac:dyDescent="0.2">
      <c r="J1173" s="6"/>
      <c r="K1173" s="6"/>
    </row>
    <row r="1174" spans="10:11" x14ac:dyDescent="0.2">
      <c r="J1174" s="6"/>
      <c r="K1174" s="6"/>
    </row>
    <row r="1175" spans="10:11" x14ac:dyDescent="0.2">
      <c r="J1175" s="6"/>
      <c r="K1175" s="6"/>
    </row>
    <row r="1176" spans="10:11" x14ac:dyDescent="0.2">
      <c r="J1176" s="6"/>
      <c r="K1176" s="6"/>
    </row>
    <row r="1177" spans="10:11" x14ac:dyDescent="0.2">
      <c r="J1177" s="6"/>
      <c r="K1177" s="6"/>
    </row>
    <row r="1178" spans="10:11" x14ac:dyDescent="0.2">
      <c r="J1178" s="6"/>
      <c r="K1178" s="6"/>
    </row>
    <row r="1179" spans="10:11" x14ac:dyDescent="0.2">
      <c r="J1179" s="6"/>
      <c r="K1179" s="6"/>
    </row>
    <row r="1180" spans="10:11" x14ac:dyDescent="0.2">
      <c r="J1180" s="6"/>
      <c r="K1180" s="6"/>
    </row>
    <row r="1181" spans="10:11" x14ac:dyDescent="0.2">
      <c r="J1181" s="6"/>
      <c r="K1181" s="6"/>
    </row>
    <row r="1182" spans="10:11" x14ac:dyDescent="0.2">
      <c r="J1182" s="6"/>
      <c r="K1182" s="6"/>
    </row>
    <row r="1183" spans="10:11" x14ac:dyDescent="0.2">
      <c r="J1183" s="6"/>
      <c r="K1183" s="6"/>
    </row>
    <row r="1184" spans="10:11" x14ac:dyDescent="0.2">
      <c r="J1184" s="6"/>
      <c r="K1184" s="6"/>
    </row>
    <row r="1185" spans="10:11" x14ac:dyDescent="0.2">
      <c r="J1185" s="6"/>
      <c r="K1185" s="6"/>
    </row>
    <row r="1186" spans="10:11" x14ac:dyDescent="0.2">
      <c r="J1186" s="6"/>
      <c r="K1186" s="6"/>
    </row>
    <row r="1187" spans="10:11" x14ac:dyDescent="0.2">
      <c r="J1187" s="6"/>
      <c r="K1187" s="6"/>
    </row>
    <row r="1188" spans="10:11" x14ac:dyDescent="0.2">
      <c r="J1188" s="6"/>
      <c r="K1188" s="6"/>
    </row>
    <row r="1189" spans="10:11" x14ac:dyDescent="0.2">
      <c r="J1189" s="6"/>
      <c r="K1189" s="6"/>
    </row>
    <row r="1190" spans="10:11" x14ac:dyDescent="0.2">
      <c r="J1190" s="6"/>
      <c r="K1190" s="6"/>
    </row>
    <row r="1191" spans="10:11" x14ac:dyDescent="0.2">
      <c r="J1191" s="6"/>
      <c r="K1191" s="6"/>
    </row>
    <row r="1192" spans="10:11" x14ac:dyDescent="0.2">
      <c r="J1192" s="6"/>
      <c r="K1192" s="6"/>
    </row>
    <row r="1193" spans="10:11" x14ac:dyDescent="0.2">
      <c r="J1193" s="6"/>
      <c r="K1193" s="6"/>
    </row>
    <row r="1194" spans="10:11" x14ac:dyDescent="0.2">
      <c r="J1194" s="6"/>
      <c r="K1194" s="6"/>
    </row>
    <row r="1195" spans="10:11" x14ac:dyDescent="0.2">
      <c r="J1195" s="6"/>
      <c r="K1195" s="6"/>
    </row>
    <row r="1196" spans="10:11" x14ac:dyDescent="0.2">
      <c r="J1196" s="6"/>
      <c r="K1196" s="6"/>
    </row>
    <row r="1197" spans="10:11" x14ac:dyDescent="0.2">
      <c r="J1197" s="6"/>
      <c r="K1197" s="6"/>
    </row>
    <row r="1198" spans="10:11" x14ac:dyDescent="0.2">
      <c r="J1198" s="6"/>
      <c r="K1198" s="6"/>
    </row>
    <row r="1199" spans="10:11" x14ac:dyDescent="0.2">
      <c r="J1199" s="6"/>
      <c r="K1199" s="6"/>
    </row>
    <row r="1200" spans="10:11" x14ac:dyDescent="0.2">
      <c r="J1200" s="6"/>
      <c r="K1200" s="6"/>
    </row>
    <row r="1201" spans="10:11" x14ac:dyDescent="0.2">
      <c r="J1201" s="6"/>
      <c r="K1201" s="6"/>
    </row>
    <row r="1202" spans="10:11" x14ac:dyDescent="0.2">
      <c r="J1202" s="6"/>
      <c r="K1202" s="6"/>
    </row>
    <row r="1203" spans="10:11" x14ac:dyDescent="0.2">
      <c r="J1203" s="6"/>
      <c r="K1203" s="6"/>
    </row>
    <row r="1204" spans="10:11" x14ac:dyDescent="0.2">
      <c r="J1204" s="6"/>
      <c r="K1204" s="6"/>
    </row>
    <row r="1205" spans="10:11" x14ac:dyDescent="0.2">
      <c r="J1205" s="6"/>
      <c r="K1205" s="6"/>
    </row>
    <row r="1206" spans="10:11" x14ac:dyDescent="0.2">
      <c r="J1206" s="6"/>
      <c r="K1206" s="6"/>
    </row>
    <row r="1207" spans="10:11" x14ac:dyDescent="0.2">
      <c r="J1207" s="6"/>
      <c r="K1207" s="6"/>
    </row>
    <row r="1208" spans="10:11" x14ac:dyDescent="0.2">
      <c r="J1208" s="6"/>
      <c r="K1208" s="6"/>
    </row>
    <row r="1209" spans="10:11" x14ac:dyDescent="0.2">
      <c r="J1209" s="6"/>
      <c r="K1209" s="6"/>
    </row>
    <row r="1210" spans="10:11" x14ac:dyDescent="0.2">
      <c r="J1210" s="6"/>
      <c r="K1210" s="6"/>
    </row>
    <row r="1211" spans="10:11" x14ac:dyDescent="0.2">
      <c r="J1211" s="6"/>
      <c r="K1211" s="6"/>
    </row>
    <row r="1212" spans="10:11" x14ac:dyDescent="0.2">
      <c r="J1212" s="6"/>
      <c r="K1212" s="6"/>
    </row>
    <row r="1213" spans="10:11" x14ac:dyDescent="0.2">
      <c r="J1213" s="6"/>
      <c r="K1213" s="6"/>
    </row>
    <row r="1214" spans="10:11" x14ac:dyDescent="0.2">
      <c r="J1214" s="6"/>
      <c r="K1214" s="6"/>
    </row>
    <row r="1215" spans="10:11" x14ac:dyDescent="0.2">
      <c r="J1215" s="6"/>
      <c r="K1215" s="6"/>
    </row>
    <row r="1216" spans="10:11" x14ac:dyDescent="0.2">
      <c r="J1216" s="6"/>
      <c r="K1216" s="6"/>
    </row>
    <row r="1217" spans="10:11" x14ac:dyDescent="0.2">
      <c r="J1217" s="6"/>
      <c r="K1217" s="6"/>
    </row>
    <row r="1218" spans="10:11" x14ac:dyDescent="0.2">
      <c r="J1218" s="6"/>
      <c r="K1218" s="6"/>
    </row>
    <row r="1219" spans="10:11" x14ac:dyDescent="0.2">
      <c r="J1219" s="6"/>
      <c r="K1219" s="6"/>
    </row>
    <row r="1220" spans="10:11" x14ac:dyDescent="0.2">
      <c r="J1220" s="6"/>
      <c r="K1220" s="6"/>
    </row>
    <row r="1221" spans="10:11" x14ac:dyDescent="0.2">
      <c r="J1221" s="6"/>
      <c r="K1221" s="6"/>
    </row>
    <row r="1222" spans="10:11" x14ac:dyDescent="0.2">
      <c r="J1222" s="6"/>
      <c r="K1222" s="6"/>
    </row>
    <row r="1223" spans="10:11" x14ac:dyDescent="0.2">
      <c r="J1223" s="6"/>
      <c r="K1223" s="6"/>
    </row>
    <row r="1224" spans="10:11" x14ac:dyDescent="0.2">
      <c r="J1224" s="6"/>
      <c r="K1224" s="6"/>
    </row>
    <row r="1225" spans="10:11" x14ac:dyDescent="0.2">
      <c r="J1225" s="6"/>
      <c r="K1225" s="6"/>
    </row>
    <row r="1226" spans="10:11" x14ac:dyDescent="0.2">
      <c r="J1226" s="6"/>
      <c r="K1226" s="6"/>
    </row>
    <row r="1227" spans="10:11" x14ac:dyDescent="0.2">
      <c r="J1227" s="6"/>
      <c r="K1227" s="6"/>
    </row>
    <row r="1228" spans="10:11" x14ac:dyDescent="0.2">
      <c r="J1228" s="6"/>
      <c r="K1228" s="6"/>
    </row>
    <row r="1229" spans="10:11" x14ac:dyDescent="0.2">
      <c r="J1229" s="6"/>
      <c r="K1229" s="6"/>
    </row>
    <row r="1230" spans="10:11" x14ac:dyDescent="0.2">
      <c r="J1230" s="6"/>
      <c r="K1230" s="6"/>
    </row>
    <row r="1231" spans="10:11" x14ac:dyDescent="0.2">
      <c r="J1231" s="6"/>
      <c r="K1231" s="6"/>
    </row>
    <row r="1232" spans="10:11" x14ac:dyDescent="0.2">
      <c r="J1232" s="6"/>
      <c r="K1232" s="6"/>
    </row>
    <row r="1233" spans="10:11" x14ac:dyDescent="0.2">
      <c r="J1233" s="6"/>
      <c r="K1233" s="6"/>
    </row>
    <row r="1234" spans="10:11" x14ac:dyDescent="0.2">
      <c r="J1234" s="6"/>
      <c r="K1234" s="6"/>
    </row>
    <row r="1235" spans="10:11" x14ac:dyDescent="0.2">
      <c r="J1235" s="6"/>
      <c r="K1235" s="6"/>
    </row>
    <row r="1236" spans="10:11" x14ac:dyDescent="0.2">
      <c r="J1236" s="6"/>
      <c r="K1236" s="6"/>
    </row>
    <row r="1237" spans="10:11" x14ac:dyDescent="0.2">
      <c r="J1237" s="6"/>
      <c r="K1237" s="6"/>
    </row>
    <row r="1238" spans="10:11" x14ac:dyDescent="0.2">
      <c r="J1238" s="6"/>
      <c r="K1238" s="6"/>
    </row>
    <row r="1239" spans="10:11" x14ac:dyDescent="0.2">
      <c r="J1239" s="6"/>
      <c r="K1239" s="6"/>
    </row>
    <row r="1240" spans="10:11" x14ac:dyDescent="0.2">
      <c r="J1240" s="6"/>
      <c r="K1240" s="6"/>
    </row>
    <row r="1241" spans="10:11" x14ac:dyDescent="0.2">
      <c r="J1241" s="6"/>
      <c r="K1241" s="6"/>
    </row>
    <row r="1242" spans="10:11" x14ac:dyDescent="0.2">
      <c r="J1242" s="6"/>
      <c r="K1242" s="6"/>
    </row>
    <row r="1243" spans="10:11" x14ac:dyDescent="0.2">
      <c r="J1243" s="6"/>
      <c r="K1243" s="6"/>
    </row>
    <row r="1244" spans="10:11" x14ac:dyDescent="0.2">
      <c r="J1244" s="6"/>
      <c r="K1244" s="6"/>
    </row>
    <row r="1245" spans="10:11" x14ac:dyDescent="0.2">
      <c r="J1245" s="6"/>
      <c r="K1245" s="6"/>
    </row>
    <row r="1246" spans="10:11" x14ac:dyDescent="0.2">
      <c r="J1246" s="6"/>
      <c r="K1246" s="6"/>
    </row>
    <row r="1247" spans="10:11" x14ac:dyDescent="0.2">
      <c r="J1247" s="6"/>
      <c r="K1247" s="6"/>
    </row>
    <row r="1248" spans="10:11" x14ac:dyDescent="0.2">
      <c r="J1248" s="6"/>
      <c r="K1248" s="6"/>
    </row>
    <row r="1249" spans="10:11" x14ac:dyDescent="0.2">
      <c r="J1249" s="6"/>
      <c r="K1249" s="6"/>
    </row>
    <row r="1250" spans="10:11" x14ac:dyDescent="0.2">
      <c r="J1250" s="6"/>
      <c r="K1250" s="6"/>
    </row>
    <row r="1251" spans="10:11" x14ac:dyDescent="0.2">
      <c r="J1251" s="6"/>
      <c r="K1251" s="6"/>
    </row>
    <row r="1252" spans="10:11" x14ac:dyDescent="0.2">
      <c r="J1252" s="6"/>
      <c r="K1252" s="6"/>
    </row>
    <row r="1253" spans="10:11" x14ac:dyDescent="0.2">
      <c r="J1253" s="6"/>
      <c r="K1253" s="6"/>
    </row>
    <row r="1254" spans="10:11" x14ac:dyDescent="0.2">
      <c r="J1254" s="6"/>
      <c r="K1254" s="6"/>
    </row>
    <row r="1255" spans="10:11" x14ac:dyDescent="0.2">
      <c r="J1255" s="6"/>
      <c r="K1255" s="6"/>
    </row>
    <row r="1256" spans="10:11" x14ac:dyDescent="0.2">
      <c r="J1256" s="6"/>
      <c r="K1256" s="6"/>
    </row>
    <row r="1257" spans="10:11" x14ac:dyDescent="0.2">
      <c r="J1257" s="6"/>
      <c r="K1257" s="6"/>
    </row>
    <row r="1258" spans="10:11" x14ac:dyDescent="0.2">
      <c r="J1258" s="6"/>
      <c r="K1258" s="6"/>
    </row>
    <row r="1259" spans="10:11" x14ac:dyDescent="0.2">
      <c r="J1259" s="6"/>
      <c r="K1259" s="6"/>
    </row>
    <row r="1260" spans="10:11" x14ac:dyDescent="0.2">
      <c r="J1260" s="6"/>
      <c r="K1260" s="6"/>
    </row>
    <row r="1261" spans="10:11" x14ac:dyDescent="0.2">
      <c r="J1261" s="6"/>
      <c r="K1261" s="6"/>
    </row>
    <row r="1262" spans="10:11" x14ac:dyDescent="0.2">
      <c r="J1262" s="6"/>
      <c r="K1262" s="6"/>
    </row>
    <row r="1263" spans="10:11" x14ac:dyDescent="0.2">
      <c r="J1263" s="6"/>
      <c r="K1263" s="6"/>
    </row>
    <row r="1264" spans="10:11" x14ac:dyDescent="0.2">
      <c r="J1264" s="6"/>
      <c r="K1264" s="6"/>
    </row>
    <row r="1265" spans="10:11" x14ac:dyDescent="0.2">
      <c r="J1265" s="6"/>
      <c r="K1265" s="6"/>
    </row>
    <row r="1266" spans="10:11" x14ac:dyDescent="0.2">
      <c r="J1266" s="6"/>
      <c r="K1266" s="6"/>
    </row>
    <row r="1267" spans="10:11" x14ac:dyDescent="0.2">
      <c r="J1267" s="6"/>
      <c r="K1267" s="6"/>
    </row>
    <row r="1268" spans="10:11" x14ac:dyDescent="0.2">
      <c r="J1268" s="6"/>
      <c r="K1268" s="6"/>
    </row>
    <row r="1269" spans="10:11" x14ac:dyDescent="0.2">
      <c r="J1269" s="6"/>
      <c r="K1269" s="6"/>
    </row>
    <row r="1270" spans="10:11" x14ac:dyDescent="0.2">
      <c r="J1270" s="6"/>
      <c r="K1270" s="6"/>
    </row>
    <row r="1271" spans="10:11" x14ac:dyDescent="0.2">
      <c r="J1271" s="6"/>
      <c r="K1271" s="6"/>
    </row>
    <row r="1272" spans="10:11" x14ac:dyDescent="0.2">
      <c r="J1272" s="6"/>
      <c r="K1272" s="6"/>
    </row>
    <row r="1273" spans="10:11" x14ac:dyDescent="0.2">
      <c r="J1273" s="6"/>
      <c r="K1273" s="6"/>
    </row>
    <row r="1274" spans="10:11" x14ac:dyDescent="0.2">
      <c r="J1274" s="6"/>
      <c r="K1274" s="6"/>
    </row>
    <row r="1275" spans="10:11" x14ac:dyDescent="0.2">
      <c r="J1275" s="6"/>
      <c r="K1275" s="6"/>
    </row>
    <row r="1276" spans="10:11" x14ac:dyDescent="0.2">
      <c r="J1276" s="6"/>
      <c r="K1276" s="6"/>
    </row>
    <row r="1277" spans="10:11" x14ac:dyDescent="0.2">
      <c r="J1277" s="6"/>
      <c r="K1277" s="6"/>
    </row>
    <row r="1278" spans="10:11" x14ac:dyDescent="0.2">
      <c r="J1278" s="6"/>
      <c r="K1278" s="6"/>
    </row>
    <row r="1279" spans="10:11" x14ac:dyDescent="0.2">
      <c r="J1279" s="6"/>
      <c r="K1279" s="6"/>
    </row>
    <row r="1280" spans="10:11" x14ac:dyDescent="0.2">
      <c r="J1280" s="6"/>
      <c r="K1280" s="6"/>
    </row>
    <row r="1281" spans="10:11" x14ac:dyDescent="0.2">
      <c r="J1281" s="6"/>
      <c r="K1281" s="6"/>
    </row>
    <row r="1282" spans="10:11" x14ac:dyDescent="0.2">
      <c r="J1282" s="6"/>
      <c r="K1282" s="6"/>
    </row>
    <row r="1283" spans="10:11" x14ac:dyDescent="0.2">
      <c r="J1283" s="6"/>
      <c r="K1283" s="6"/>
    </row>
    <row r="1284" spans="10:11" x14ac:dyDescent="0.2">
      <c r="J1284" s="6"/>
      <c r="K1284" s="6"/>
    </row>
    <row r="1285" spans="10:11" x14ac:dyDescent="0.2">
      <c r="J1285" s="6"/>
      <c r="K1285" s="6"/>
    </row>
    <row r="1286" spans="10:11" x14ac:dyDescent="0.2">
      <c r="J1286" s="6"/>
      <c r="K1286" s="6"/>
    </row>
    <row r="1287" spans="10:11" x14ac:dyDescent="0.2">
      <c r="J1287" s="6"/>
      <c r="K1287" s="6"/>
    </row>
    <row r="1288" spans="10:11" x14ac:dyDescent="0.2">
      <c r="J1288" s="6"/>
      <c r="K1288" s="6"/>
    </row>
    <row r="1289" spans="10:11" x14ac:dyDescent="0.2">
      <c r="J1289" s="6"/>
      <c r="K1289" s="6"/>
    </row>
    <row r="1290" spans="10:11" x14ac:dyDescent="0.2">
      <c r="J1290" s="6"/>
      <c r="K1290" s="6"/>
    </row>
    <row r="1291" spans="10:11" x14ac:dyDescent="0.2">
      <c r="J1291" s="6"/>
      <c r="K1291" s="6"/>
    </row>
    <row r="1292" spans="10:11" x14ac:dyDescent="0.2">
      <c r="J1292" s="6"/>
      <c r="K1292" s="6"/>
    </row>
    <row r="1293" spans="10:11" x14ac:dyDescent="0.2">
      <c r="J1293" s="6"/>
      <c r="K1293" s="6"/>
    </row>
    <row r="1294" spans="10:11" x14ac:dyDescent="0.2">
      <c r="J1294" s="6"/>
      <c r="K1294" s="6"/>
    </row>
    <row r="1295" spans="10:11" x14ac:dyDescent="0.2">
      <c r="J1295" s="6"/>
      <c r="K1295" s="6"/>
    </row>
    <row r="1296" spans="10:11" x14ac:dyDescent="0.2">
      <c r="J1296" s="6"/>
      <c r="K1296" s="6"/>
    </row>
    <row r="1297" spans="10:11" x14ac:dyDescent="0.2">
      <c r="J1297" s="6"/>
      <c r="K1297" s="6"/>
    </row>
    <row r="1298" spans="10:11" x14ac:dyDescent="0.2">
      <c r="J1298" s="6"/>
      <c r="K1298" s="6"/>
    </row>
    <row r="1299" spans="10:11" x14ac:dyDescent="0.2">
      <c r="J1299" s="6"/>
      <c r="K1299" s="6"/>
    </row>
    <row r="1300" spans="10:11" x14ac:dyDescent="0.2">
      <c r="J1300" s="6"/>
      <c r="K1300" s="6"/>
    </row>
    <row r="1301" spans="10:11" x14ac:dyDescent="0.2">
      <c r="J1301" s="6"/>
      <c r="K1301" s="6"/>
    </row>
    <row r="1302" spans="10:11" x14ac:dyDescent="0.2">
      <c r="J1302" s="6"/>
      <c r="K1302" s="6"/>
    </row>
    <row r="1303" spans="10:11" x14ac:dyDescent="0.2">
      <c r="J1303" s="6"/>
      <c r="K1303" s="6"/>
    </row>
    <row r="1304" spans="10:11" x14ac:dyDescent="0.2">
      <c r="J1304" s="6"/>
      <c r="K1304" s="6"/>
    </row>
    <row r="1305" spans="10:11" x14ac:dyDescent="0.2">
      <c r="J1305" s="6"/>
      <c r="K1305" s="6"/>
    </row>
    <row r="1306" spans="10:11" x14ac:dyDescent="0.2">
      <c r="J1306" s="6"/>
      <c r="K1306" s="6"/>
    </row>
    <row r="1307" spans="10:11" x14ac:dyDescent="0.2">
      <c r="J1307" s="6"/>
      <c r="K1307" s="6"/>
    </row>
    <row r="1308" spans="10:11" x14ac:dyDescent="0.2">
      <c r="J1308" s="6"/>
      <c r="K1308" s="6"/>
    </row>
    <row r="1309" spans="10:11" x14ac:dyDescent="0.2">
      <c r="J1309" s="6"/>
      <c r="K1309" s="6"/>
    </row>
    <row r="1310" spans="10:11" x14ac:dyDescent="0.2">
      <c r="J1310" s="6"/>
      <c r="K1310" s="6"/>
    </row>
    <row r="1311" spans="10:11" x14ac:dyDescent="0.2">
      <c r="J1311" s="6"/>
      <c r="K1311" s="6"/>
    </row>
    <row r="1312" spans="10:11" x14ac:dyDescent="0.2">
      <c r="J1312" s="6"/>
      <c r="K1312" s="6"/>
    </row>
    <row r="1313" spans="10:11" x14ac:dyDescent="0.2">
      <c r="J1313" s="6"/>
      <c r="K1313" s="6"/>
    </row>
    <row r="1314" spans="10:11" x14ac:dyDescent="0.2">
      <c r="J1314" s="6"/>
      <c r="K1314" s="6"/>
    </row>
    <row r="1315" spans="10:11" x14ac:dyDescent="0.2">
      <c r="J1315" s="6"/>
      <c r="K1315" s="6"/>
    </row>
    <row r="1316" spans="10:11" x14ac:dyDescent="0.2">
      <c r="J1316" s="6"/>
      <c r="K1316" s="6"/>
    </row>
    <row r="1317" spans="10:11" x14ac:dyDescent="0.2">
      <c r="J1317" s="6"/>
      <c r="K1317" s="6"/>
    </row>
    <row r="1318" spans="10:11" x14ac:dyDescent="0.2">
      <c r="J1318" s="6"/>
      <c r="K1318" s="6"/>
    </row>
    <row r="1319" spans="10:11" x14ac:dyDescent="0.2">
      <c r="J1319" s="6"/>
      <c r="K1319" s="6"/>
    </row>
    <row r="1320" spans="10:11" x14ac:dyDescent="0.2">
      <c r="J1320" s="6"/>
      <c r="K1320" s="6"/>
    </row>
    <row r="1321" spans="10:11" x14ac:dyDescent="0.2">
      <c r="J1321" s="6"/>
      <c r="K1321" s="6"/>
    </row>
    <row r="1322" spans="10:11" x14ac:dyDescent="0.2">
      <c r="J1322" s="6"/>
      <c r="K1322" s="6"/>
    </row>
    <row r="1323" spans="10:11" x14ac:dyDescent="0.2">
      <c r="J1323" s="6"/>
      <c r="K1323" s="6"/>
    </row>
    <row r="1324" spans="10:11" x14ac:dyDescent="0.2">
      <c r="J1324" s="6"/>
      <c r="K1324" s="6"/>
    </row>
    <row r="1325" spans="10:11" x14ac:dyDescent="0.2">
      <c r="J1325" s="6"/>
      <c r="K1325" s="6"/>
    </row>
    <row r="1326" spans="10:11" x14ac:dyDescent="0.2">
      <c r="J1326" s="6"/>
      <c r="K1326" s="6"/>
    </row>
    <row r="1327" spans="10:11" x14ac:dyDescent="0.2">
      <c r="J1327" s="6"/>
      <c r="K1327" s="6"/>
    </row>
    <row r="1328" spans="10:11" x14ac:dyDescent="0.2">
      <c r="J1328" s="6"/>
      <c r="K1328" s="6"/>
    </row>
    <row r="1329" spans="10:11" x14ac:dyDescent="0.2">
      <c r="J1329" s="6"/>
      <c r="K1329" s="6"/>
    </row>
    <row r="1330" spans="10:11" x14ac:dyDescent="0.2">
      <c r="J1330" s="6"/>
      <c r="K1330" s="6"/>
    </row>
    <row r="1331" spans="10:11" x14ac:dyDescent="0.2">
      <c r="J1331" s="6"/>
      <c r="K1331" s="6"/>
    </row>
    <row r="1332" spans="10:11" x14ac:dyDescent="0.2">
      <c r="J1332" s="6"/>
      <c r="K1332" s="6"/>
    </row>
    <row r="1333" spans="10:11" x14ac:dyDescent="0.2">
      <c r="J1333" s="6"/>
      <c r="K1333" s="6"/>
    </row>
    <row r="1334" spans="10:11" x14ac:dyDescent="0.2">
      <c r="J1334" s="6"/>
      <c r="K1334" s="6"/>
    </row>
    <row r="1335" spans="10:11" x14ac:dyDescent="0.2">
      <c r="J1335" s="6"/>
      <c r="K1335" s="6"/>
    </row>
    <row r="1336" spans="10:11" x14ac:dyDescent="0.2">
      <c r="J1336" s="6"/>
      <c r="K1336" s="6"/>
    </row>
    <row r="1337" spans="10:11" x14ac:dyDescent="0.2">
      <c r="J1337" s="6"/>
      <c r="K1337" s="6"/>
    </row>
    <row r="1338" spans="10:11" x14ac:dyDescent="0.2">
      <c r="J1338" s="6"/>
      <c r="K1338" s="6"/>
    </row>
    <row r="1339" spans="10:11" x14ac:dyDescent="0.2">
      <c r="J1339" s="6"/>
      <c r="K1339" s="6"/>
    </row>
    <row r="1340" spans="10:11" x14ac:dyDescent="0.2">
      <c r="J1340" s="6"/>
      <c r="K1340" s="6"/>
    </row>
    <row r="1341" spans="10:11" x14ac:dyDescent="0.2">
      <c r="J1341" s="6"/>
      <c r="K1341" s="6"/>
    </row>
    <row r="1342" spans="10:11" x14ac:dyDescent="0.2">
      <c r="J1342" s="6"/>
      <c r="K1342" s="6"/>
    </row>
    <row r="1343" spans="10:11" x14ac:dyDescent="0.2">
      <c r="J1343" s="6"/>
      <c r="K1343" s="6"/>
    </row>
    <row r="1344" spans="10:11" x14ac:dyDescent="0.2">
      <c r="J1344" s="6"/>
      <c r="K1344" s="6"/>
    </row>
    <row r="1345" spans="10:11" x14ac:dyDescent="0.2">
      <c r="J1345" s="6"/>
      <c r="K1345" s="6"/>
    </row>
    <row r="1346" spans="10:11" x14ac:dyDescent="0.2">
      <c r="J1346" s="6"/>
      <c r="K1346" s="6"/>
    </row>
    <row r="1347" spans="10:11" x14ac:dyDescent="0.2">
      <c r="J1347" s="6"/>
      <c r="K1347" s="6"/>
    </row>
    <row r="1348" spans="10:11" x14ac:dyDescent="0.2">
      <c r="J1348" s="6"/>
      <c r="K1348" s="6"/>
    </row>
    <row r="1349" spans="10:11" x14ac:dyDescent="0.2">
      <c r="J1349" s="6"/>
      <c r="K1349" s="6"/>
    </row>
    <row r="1350" spans="10:11" x14ac:dyDescent="0.2">
      <c r="J1350" s="6"/>
      <c r="K1350" s="6"/>
    </row>
    <row r="1351" spans="10:11" x14ac:dyDescent="0.2">
      <c r="J1351" s="6"/>
      <c r="K1351" s="6"/>
    </row>
    <row r="1352" spans="10:11" x14ac:dyDescent="0.2">
      <c r="J1352" s="6"/>
      <c r="K1352" s="6"/>
    </row>
    <row r="1353" spans="10:11" x14ac:dyDescent="0.2">
      <c r="J1353" s="6"/>
      <c r="K1353" s="6"/>
    </row>
    <row r="1354" spans="10:11" x14ac:dyDescent="0.2">
      <c r="J1354" s="6"/>
      <c r="K1354" s="6"/>
    </row>
    <row r="1355" spans="10:11" x14ac:dyDescent="0.2">
      <c r="J1355" s="6"/>
      <c r="K1355" s="6"/>
    </row>
    <row r="1356" spans="10:11" x14ac:dyDescent="0.2">
      <c r="J1356" s="6"/>
      <c r="K1356" s="6"/>
    </row>
    <row r="1357" spans="10:11" x14ac:dyDescent="0.2">
      <c r="J1357" s="6"/>
      <c r="K1357" s="6"/>
    </row>
    <row r="1358" spans="10:11" x14ac:dyDescent="0.2">
      <c r="J1358" s="6"/>
      <c r="K1358" s="6"/>
    </row>
    <row r="1359" spans="10:11" x14ac:dyDescent="0.2">
      <c r="J1359" s="6"/>
      <c r="K1359" s="6"/>
    </row>
    <row r="1360" spans="10:11" x14ac:dyDescent="0.2">
      <c r="J1360" s="6"/>
      <c r="K1360" s="6"/>
    </row>
    <row r="1361" spans="10:11" x14ac:dyDescent="0.2">
      <c r="J1361" s="6"/>
      <c r="K1361" s="6"/>
    </row>
    <row r="1362" spans="10:11" x14ac:dyDescent="0.2">
      <c r="J1362" s="6"/>
      <c r="K1362" s="6"/>
    </row>
    <row r="1363" spans="10:11" x14ac:dyDescent="0.2">
      <c r="J1363" s="6"/>
      <c r="K1363" s="6"/>
    </row>
    <row r="1364" spans="10:11" x14ac:dyDescent="0.2">
      <c r="J1364" s="6"/>
      <c r="K1364" s="6"/>
    </row>
    <row r="1365" spans="10:11" x14ac:dyDescent="0.2">
      <c r="J1365" s="6"/>
      <c r="K1365" s="6"/>
    </row>
    <row r="1366" spans="10:11" x14ac:dyDescent="0.2">
      <c r="J1366" s="6"/>
      <c r="K1366" s="6"/>
    </row>
    <row r="1367" spans="10:11" x14ac:dyDescent="0.2">
      <c r="J1367" s="6"/>
      <c r="K1367" s="6"/>
    </row>
    <row r="1368" spans="10:11" x14ac:dyDescent="0.2">
      <c r="J1368" s="6"/>
      <c r="K1368" s="6"/>
    </row>
    <row r="1369" spans="10:11" x14ac:dyDescent="0.2">
      <c r="J1369" s="6"/>
      <c r="K1369" s="6"/>
    </row>
    <row r="1370" spans="10:11" x14ac:dyDescent="0.2">
      <c r="J1370" s="6"/>
      <c r="K1370" s="6"/>
    </row>
    <row r="1371" spans="10:11" x14ac:dyDescent="0.2">
      <c r="J1371" s="6"/>
      <c r="K1371" s="6"/>
    </row>
    <row r="1372" spans="10:11" x14ac:dyDescent="0.2">
      <c r="J1372" s="6"/>
      <c r="K1372" s="6"/>
    </row>
    <row r="1373" spans="10:11" x14ac:dyDescent="0.2">
      <c r="J1373" s="6"/>
      <c r="K1373" s="6"/>
    </row>
    <row r="1374" spans="10:11" x14ac:dyDescent="0.2">
      <c r="J1374" s="6"/>
      <c r="K1374" s="6"/>
    </row>
    <row r="1375" spans="10:11" x14ac:dyDescent="0.2">
      <c r="J1375" s="6"/>
      <c r="K1375" s="6"/>
    </row>
    <row r="1376" spans="10:11" x14ac:dyDescent="0.2">
      <c r="J1376" s="6"/>
      <c r="K1376" s="6"/>
    </row>
    <row r="1377" spans="10:11" x14ac:dyDescent="0.2">
      <c r="J1377" s="6"/>
      <c r="K1377" s="6"/>
    </row>
    <row r="1378" spans="10:11" x14ac:dyDescent="0.2">
      <c r="J1378" s="6"/>
      <c r="K1378" s="6"/>
    </row>
    <row r="1379" spans="10:11" x14ac:dyDescent="0.2">
      <c r="J1379" s="6"/>
      <c r="K1379" s="6"/>
    </row>
    <row r="1380" spans="10:11" x14ac:dyDescent="0.2">
      <c r="J1380" s="6"/>
      <c r="K1380" s="6"/>
    </row>
    <row r="1381" spans="10:11" x14ac:dyDescent="0.2">
      <c r="J1381" s="6"/>
      <c r="K1381" s="6"/>
    </row>
    <row r="1382" spans="10:11" x14ac:dyDescent="0.2">
      <c r="J1382" s="6"/>
      <c r="K1382" s="6"/>
    </row>
    <row r="1383" spans="10:11" x14ac:dyDescent="0.2">
      <c r="J1383" s="6"/>
      <c r="K1383" s="6"/>
    </row>
    <row r="1384" spans="10:11" x14ac:dyDescent="0.2">
      <c r="J1384" s="6"/>
      <c r="K1384" s="6"/>
    </row>
    <row r="1385" spans="10:11" x14ac:dyDescent="0.2">
      <c r="J1385" s="6"/>
      <c r="K1385" s="6"/>
    </row>
    <row r="1386" spans="10:11" x14ac:dyDescent="0.2">
      <c r="J1386" s="6"/>
      <c r="K1386" s="6"/>
    </row>
    <row r="1387" spans="10:11" x14ac:dyDescent="0.2">
      <c r="J1387" s="6"/>
      <c r="K1387" s="6"/>
    </row>
    <row r="1388" spans="10:11" x14ac:dyDescent="0.2">
      <c r="J1388" s="6"/>
      <c r="K1388" s="6"/>
    </row>
    <row r="1389" spans="10:11" x14ac:dyDescent="0.2">
      <c r="J1389" s="6"/>
      <c r="K1389" s="6"/>
    </row>
    <row r="1390" spans="10:11" x14ac:dyDescent="0.2">
      <c r="J1390" s="6"/>
      <c r="K1390" s="6"/>
    </row>
    <row r="1391" spans="10:11" x14ac:dyDescent="0.2">
      <c r="J1391" s="6"/>
      <c r="K1391" s="6"/>
    </row>
    <row r="1392" spans="10:11" x14ac:dyDescent="0.2">
      <c r="J1392" s="6"/>
      <c r="K1392" s="6"/>
    </row>
    <row r="1393" spans="10:11" x14ac:dyDescent="0.2">
      <c r="J1393" s="6"/>
      <c r="K1393" s="6"/>
    </row>
    <row r="1394" spans="10:11" x14ac:dyDescent="0.2">
      <c r="J1394" s="6"/>
      <c r="K1394" s="6"/>
    </row>
    <row r="1395" spans="10:11" x14ac:dyDescent="0.2">
      <c r="J1395" s="6"/>
      <c r="K1395" s="6"/>
    </row>
    <row r="1396" spans="10:11" x14ac:dyDescent="0.2">
      <c r="J1396" s="6"/>
      <c r="K1396" s="6"/>
    </row>
    <row r="1397" spans="10:11" x14ac:dyDescent="0.2">
      <c r="J1397" s="6"/>
      <c r="K1397" s="6"/>
    </row>
    <row r="1398" spans="10:11" x14ac:dyDescent="0.2">
      <c r="J1398" s="6"/>
      <c r="K1398" s="6"/>
    </row>
    <row r="1399" spans="10:11" x14ac:dyDescent="0.2">
      <c r="J1399" s="6"/>
      <c r="K1399" s="6"/>
    </row>
    <row r="1400" spans="10:11" x14ac:dyDescent="0.2">
      <c r="J1400" s="6"/>
      <c r="K1400" s="6"/>
    </row>
    <row r="1401" spans="10:11" x14ac:dyDescent="0.2">
      <c r="J1401" s="6"/>
      <c r="K1401" s="6"/>
    </row>
    <row r="1402" spans="10:11" x14ac:dyDescent="0.2">
      <c r="J1402" s="6"/>
      <c r="K1402" s="6"/>
    </row>
    <row r="1403" spans="10:11" x14ac:dyDescent="0.2">
      <c r="J1403" s="6"/>
      <c r="K1403" s="6"/>
    </row>
    <row r="1404" spans="10:11" x14ac:dyDescent="0.2">
      <c r="J1404" s="6"/>
      <c r="K1404" s="6"/>
    </row>
    <row r="1405" spans="10:11" x14ac:dyDescent="0.2">
      <c r="J1405" s="6"/>
      <c r="K1405" s="6"/>
    </row>
    <row r="1406" spans="10:11" x14ac:dyDescent="0.2">
      <c r="J1406" s="6"/>
      <c r="K1406" s="6"/>
    </row>
    <row r="1407" spans="10:11" x14ac:dyDescent="0.2">
      <c r="J1407" s="6"/>
      <c r="K1407" s="6"/>
    </row>
    <row r="1408" spans="10:11" x14ac:dyDescent="0.2">
      <c r="J1408" s="6"/>
      <c r="K1408" s="6"/>
    </row>
    <row r="1409" spans="10:11" x14ac:dyDescent="0.2">
      <c r="J1409" s="6"/>
      <c r="K1409" s="6"/>
    </row>
    <row r="1410" spans="10:11" x14ac:dyDescent="0.2">
      <c r="J1410" s="6"/>
      <c r="K1410" s="6"/>
    </row>
    <row r="1411" spans="10:11" x14ac:dyDescent="0.2">
      <c r="J1411" s="6"/>
      <c r="K1411" s="6"/>
    </row>
    <row r="1412" spans="10:11" x14ac:dyDescent="0.2">
      <c r="J1412" s="6"/>
      <c r="K1412" s="6"/>
    </row>
    <row r="1413" spans="10:11" x14ac:dyDescent="0.2">
      <c r="J1413" s="6"/>
      <c r="K1413" s="6"/>
    </row>
    <row r="1414" spans="10:11" x14ac:dyDescent="0.2">
      <c r="J1414" s="6"/>
      <c r="K1414" s="6"/>
    </row>
    <row r="1415" spans="10:11" x14ac:dyDescent="0.2">
      <c r="J1415" s="6"/>
      <c r="K1415" s="6"/>
    </row>
    <row r="1416" spans="10:11" x14ac:dyDescent="0.2">
      <c r="J1416" s="6"/>
      <c r="K1416" s="6"/>
    </row>
    <row r="1417" spans="10:11" x14ac:dyDescent="0.2">
      <c r="J1417" s="6"/>
      <c r="K1417" s="6"/>
    </row>
    <row r="1418" spans="10:11" x14ac:dyDescent="0.2">
      <c r="J1418" s="6"/>
      <c r="K1418" s="6"/>
    </row>
    <row r="1419" spans="10:11" x14ac:dyDescent="0.2">
      <c r="J1419" s="6"/>
      <c r="K1419" s="6"/>
    </row>
    <row r="1420" spans="10:11" x14ac:dyDescent="0.2">
      <c r="J1420" s="6"/>
      <c r="K1420" s="6"/>
    </row>
    <row r="1421" spans="10:11" x14ac:dyDescent="0.2">
      <c r="J1421" s="6"/>
      <c r="K1421" s="6"/>
    </row>
    <row r="1422" spans="10:11" x14ac:dyDescent="0.2">
      <c r="J1422" s="6"/>
      <c r="K1422" s="6"/>
    </row>
    <row r="1423" spans="10:11" x14ac:dyDescent="0.2">
      <c r="J1423" s="6"/>
      <c r="K1423" s="6"/>
    </row>
    <row r="1424" spans="10:11" x14ac:dyDescent="0.2">
      <c r="J1424" s="6"/>
      <c r="K1424" s="6"/>
    </row>
    <row r="1425" spans="10:11" x14ac:dyDescent="0.2">
      <c r="J1425" s="6"/>
      <c r="K1425" s="6"/>
    </row>
    <row r="1426" spans="10:11" x14ac:dyDescent="0.2">
      <c r="J1426" s="6"/>
      <c r="K1426" s="6"/>
    </row>
    <row r="1427" spans="10:11" x14ac:dyDescent="0.2">
      <c r="J1427" s="6"/>
      <c r="K1427" s="6"/>
    </row>
    <row r="1428" spans="10:11" x14ac:dyDescent="0.2">
      <c r="J1428" s="6"/>
      <c r="K1428" s="6"/>
    </row>
    <row r="1429" spans="10:11" x14ac:dyDescent="0.2">
      <c r="J1429" s="6"/>
      <c r="K1429" s="6"/>
    </row>
    <row r="1430" spans="10:11" x14ac:dyDescent="0.2">
      <c r="J1430" s="6"/>
      <c r="K1430" s="6"/>
    </row>
    <row r="1431" spans="10:11" x14ac:dyDescent="0.2">
      <c r="J1431" s="6"/>
      <c r="K1431" s="6"/>
    </row>
    <row r="1432" spans="10:11" x14ac:dyDescent="0.2">
      <c r="J1432" s="6"/>
      <c r="K1432" s="6"/>
    </row>
    <row r="1433" spans="10:11" x14ac:dyDescent="0.2">
      <c r="J1433" s="6"/>
      <c r="K1433" s="6"/>
    </row>
    <row r="1434" spans="10:11" x14ac:dyDescent="0.2">
      <c r="J1434" s="6"/>
      <c r="K1434" s="6"/>
    </row>
    <row r="1435" spans="10:11" x14ac:dyDescent="0.2">
      <c r="J1435" s="6"/>
      <c r="K1435" s="6"/>
    </row>
    <row r="1436" spans="10:11" x14ac:dyDescent="0.2">
      <c r="J1436" s="6"/>
      <c r="K1436" s="6"/>
    </row>
    <row r="1437" spans="10:11" x14ac:dyDescent="0.2">
      <c r="J1437" s="6"/>
      <c r="K1437" s="6"/>
    </row>
    <row r="1438" spans="10:11" x14ac:dyDescent="0.2">
      <c r="J1438" s="6"/>
      <c r="K1438" s="6"/>
    </row>
    <row r="1439" spans="10:11" x14ac:dyDescent="0.2">
      <c r="J1439" s="6"/>
      <c r="K1439" s="6"/>
    </row>
    <row r="1440" spans="10:11" x14ac:dyDescent="0.2">
      <c r="J1440" s="6"/>
      <c r="K1440" s="6"/>
    </row>
    <row r="1441" spans="10:11" x14ac:dyDescent="0.2">
      <c r="J1441" s="6"/>
      <c r="K1441" s="6"/>
    </row>
    <row r="1442" spans="10:11" x14ac:dyDescent="0.2">
      <c r="J1442" s="6"/>
      <c r="K1442" s="6"/>
    </row>
    <row r="1443" spans="10:11" x14ac:dyDescent="0.2">
      <c r="J1443" s="6"/>
      <c r="K1443" s="6"/>
    </row>
    <row r="1444" spans="10:11" x14ac:dyDescent="0.2">
      <c r="J1444" s="6"/>
      <c r="K1444" s="6"/>
    </row>
    <row r="1445" spans="10:11" x14ac:dyDescent="0.2">
      <c r="J1445" s="6"/>
      <c r="K1445" s="6"/>
    </row>
    <row r="1446" spans="10:11" x14ac:dyDescent="0.2">
      <c r="J1446" s="6"/>
      <c r="K1446" s="6"/>
    </row>
    <row r="1447" spans="10:11" x14ac:dyDescent="0.2">
      <c r="J1447" s="6"/>
      <c r="K1447" s="6"/>
    </row>
    <row r="1448" spans="10:11" x14ac:dyDescent="0.2">
      <c r="J1448" s="6"/>
      <c r="K1448" s="6"/>
    </row>
    <row r="1449" spans="10:11" x14ac:dyDescent="0.2">
      <c r="J1449" s="6"/>
      <c r="K1449" s="6"/>
    </row>
    <row r="1450" spans="10:11" x14ac:dyDescent="0.2">
      <c r="J1450" s="6"/>
      <c r="K1450" s="6"/>
    </row>
    <row r="1451" spans="10:11" x14ac:dyDescent="0.2">
      <c r="J1451" s="6"/>
      <c r="K1451" s="6"/>
    </row>
    <row r="1452" spans="10:11" x14ac:dyDescent="0.2">
      <c r="J1452" s="6"/>
      <c r="K1452" s="6"/>
    </row>
    <row r="1453" spans="10:11" x14ac:dyDescent="0.2">
      <c r="J1453" s="6"/>
      <c r="K1453" s="6"/>
    </row>
    <row r="1454" spans="10:11" x14ac:dyDescent="0.2">
      <c r="J1454" s="6"/>
      <c r="K1454" s="6"/>
    </row>
    <row r="1455" spans="10:11" x14ac:dyDescent="0.2">
      <c r="J1455" s="6"/>
      <c r="K1455" s="6"/>
    </row>
    <row r="1456" spans="10:11" x14ac:dyDescent="0.2">
      <c r="J1456" s="6"/>
      <c r="K1456" s="6"/>
    </row>
    <row r="1457" spans="10:11" x14ac:dyDescent="0.2">
      <c r="J1457" s="6"/>
      <c r="K1457" s="6"/>
    </row>
    <row r="1458" spans="10:11" x14ac:dyDescent="0.2">
      <c r="J1458" s="6"/>
      <c r="K1458" s="6"/>
    </row>
    <row r="1459" spans="10:11" x14ac:dyDescent="0.2">
      <c r="J1459" s="6"/>
      <c r="K1459" s="6"/>
    </row>
    <row r="1460" spans="10:11" x14ac:dyDescent="0.2">
      <c r="J1460" s="6"/>
      <c r="K1460" s="6"/>
    </row>
    <row r="1461" spans="10:11" x14ac:dyDescent="0.2">
      <c r="J1461" s="6"/>
      <c r="K1461" s="6"/>
    </row>
    <row r="1462" spans="10:11" x14ac:dyDescent="0.2">
      <c r="J1462" s="6"/>
      <c r="K1462" s="6"/>
    </row>
    <row r="1463" spans="10:11" x14ac:dyDescent="0.2">
      <c r="J1463" s="6"/>
      <c r="K1463" s="6"/>
    </row>
    <row r="1464" spans="10:11" x14ac:dyDescent="0.2">
      <c r="J1464" s="6"/>
      <c r="K1464" s="6"/>
    </row>
    <row r="1465" spans="10:11" x14ac:dyDescent="0.2">
      <c r="J1465" s="6"/>
      <c r="K1465" s="6"/>
    </row>
    <row r="1466" spans="10:11" x14ac:dyDescent="0.2">
      <c r="J1466" s="6"/>
      <c r="K1466" s="6"/>
    </row>
    <row r="1467" spans="10:11" x14ac:dyDescent="0.2">
      <c r="J1467" s="6"/>
      <c r="K1467" s="6"/>
    </row>
    <row r="1468" spans="10:11" x14ac:dyDescent="0.2">
      <c r="J1468" s="6"/>
      <c r="K1468" s="6"/>
    </row>
    <row r="1469" spans="10:11" x14ac:dyDescent="0.2">
      <c r="J1469" s="6"/>
      <c r="K1469" s="6"/>
    </row>
    <row r="1470" spans="10:11" x14ac:dyDescent="0.2">
      <c r="J1470" s="6"/>
      <c r="K1470" s="6"/>
    </row>
    <row r="1471" spans="10:11" x14ac:dyDescent="0.2">
      <c r="J1471" s="6"/>
      <c r="K1471" s="6"/>
    </row>
    <row r="1472" spans="10:11" x14ac:dyDescent="0.2">
      <c r="J1472" s="6"/>
      <c r="K1472" s="6"/>
    </row>
    <row r="1473" spans="10:11" x14ac:dyDescent="0.2">
      <c r="J1473" s="6"/>
      <c r="K1473" s="6"/>
    </row>
    <row r="1474" spans="10:11" x14ac:dyDescent="0.2">
      <c r="J1474" s="6"/>
      <c r="K1474" s="6"/>
    </row>
    <row r="1475" spans="10:11" x14ac:dyDescent="0.2">
      <c r="J1475" s="6"/>
      <c r="K1475" s="6"/>
    </row>
    <row r="1476" spans="10:11" x14ac:dyDescent="0.2">
      <c r="J1476" s="6"/>
      <c r="K1476" s="6"/>
    </row>
    <row r="1477" spans="10:11" x14ac:dyDescent="0.2">
      <c r="J1477" s="6"/>
      <c r="K1477" s="6"/>
    </row>
    <row r="1478" spans="10:11" x14ac:dyDescent="0.2">
      <c r="J1478" s="6"/>
      <c r="K1478" s="6"/>
    </row>
    <row r="1479" spans="10:11" x14ac:dyDescent="0.2">
      <c r="J1479" s="6"/>
      <c r="K1479" s="6"/>
    </row>
    <row r="1480" spans="10:11" x14ac:dyDescent="0.2">
      <c r="J1480" s="6"/>
      <c r="K1480" s="6"/>
    </row>
    <row r="1481" spans="10:11" x14ac:dyDescent="0.2">
      <c r="J1481" s="6"/>
      <c r="K1481" s="6"/>
    </row>
    <row r="1482" spans="10:11" x14ac:dyDescent="0.2">
      <c r="J1482" s="6"/>
      <c r="K1482" s="6"/>
    </row>
    <row r="1483" spans="10:11" x14ac:dyDescent="0.2">
      <c r="J1483" s="6"/>
      <c r="K1483" s="6"/>
    </row>
    <row r="1484" spans="10:11" x14ac:dyDescent="0.2">
      <c r="J1484" s="6"/>
      <c r="K1484" s="6"/>
    </row>
    <row r="1485" spans="10:11" x14ac:dyDescent="0.2">
      <c r="J1485" s="6"/>
      <c r="K1485" s="6"/>
    </row>
    <row r="1486" spans="10:11" x14ac:dyDescent="0.2">
      <c r="J1486" s="6"/>
      <c r="K1486" s="6"/>
    </row>
    <row r="1487" spans="10:11" x14ac:dyDescent="0.2">
      <c r="J1487" s="6"/>
      <c r="K1487" s="6"/>
    </row>
    <row r="1488" spans="10:11" x14ac:dyDescent="0.2">
      <c r="J1488" s="6"/>
      <c r="K1488" s="6"/>
    </row>
    <row r="1489" spans="10:11" x14ac:dyDescent="0.2">
      <c r="J1489" s="6"/>
      <c r="K1489" s="6"/>
    </row>
    <row r="1490" spans="10:11" x14ac:dyDescent="0.2">
      <c r="J1490" s="6"/>
      <c r="K1490" s="6"/>
    </row>
    <row r="1491" spans="10:11" x14ac:dyDescent="0.2">
      <c r="J1491" s="6"/>
      <c r="K1491" s="6"/>
    </row>
    <row r="1492" spans="10:11" x14ac:dyDescent="0.2">
      <c r="J1492" s="6"/>
      <c r="K1492" s="6"/>
    </row>
    <row r="1493" spans="10:11" x14ac:dyDescent="0.2">
      <c r="J1493" s="6"/>
      <c r="K1493" s="6"/>
    </row>
    <row r="1494" spans="10:11" x14ac:dyDescent="0.2">
      <c r="J1494" s="6"/>
      <c r="K1494" s="6"/>
    </row>
    <row r="1495" spans="10:11" x14ac:dyDescent="0.2">
      <c r="J1495" s="6"/>
      <c r="K1495" s="6"/>
    </row>
    <row r="1496" spans="10:11" x14ac:dyDescent="0.2">
      <c r="J1496" s="6"/>
      <c r="K1496" s="6"/>
    </row>
    <row r="1497" spans="10:11" x14ac:dyDescent="0.2">
      <c r="J1497" s="6"/>
      <c r="K1497" s="6"/>
    </row>
    <row r="1498" spans="10:11" x14ac:dyDescent="0.2">
      <c r="J1498" s="6"/>
      <c r="K1498" s="6"/>
    </row>
    <row r="1499" spans="10:11" x14ac:dyDescent="0.2">
      <c r="J1499" s="6"/>
      <c r="K1499" s="6"/>
    </row>
    <row r="1500" spans="10:11" x14ac:dyDescent="0.2">
      <c r="J1500" s="6"/>
      <c r="K1500" s="6"/>
    </row>
    <row r="1501" spans="10:11" x14ac:dyDescent="0.2">
      <c r="J1501" s="6"/>
      <c r="K1501" s="6"/>
    </row>
    <row r="1502" spans="10:11" x14ac:dyDescent="0.2">
      <c r="J1502" s="6"/>
      <c r="K1502" s="6"/>
    </row>
    <row r="1503" spans="10:11" x14ac:dyDescent="0.2">
      <c r="J1503" s="6"/>
      <c r="K1503" s="6"/>
    </row>
    <row r="1504" spans="10:11" x14ac:dyDescent="0.2">
      <c r="J1504" s="6"/>
      <c r="K1504" s="6"/>
    </row>
    <row r="1505" spans="10:11" x14ac:dyDescent="0.2">
      <c r="J1505" s="6"/>
      <c r="K1505" s="6"/>
    </row>
    <row r="1506" spans="10:11" x14ac:dyDescent="0.2">
      <c r="J1506" s="6"/>
      <c r="K1506" s="6"/>
    </row>
    <row r="1507" spans="10:11" x14ac:dyDescent="0.2">
      <c r="J1507" s="6"/>
      <c r="K1507" s="6"/>
    </row>
    <row r="1508" spans="10:11" x14ac:dyDescent="0.2">
      <c r="J1508" s="6"/>
      <c r="K1508" s="6"/>
    </row>
    <row r="1509" spans="10:11" x14ac:dyDescent="0.2">
      <c r="J1509" s="6"/>
      <c r="K1509" s="6"/>
    </row>
    <row r="1510" spans="10:11" x14ac:dyDescent="0.2">
      <c r="J1510" s="6"/>
      <c r="K1510" s="6"/>
    </row>
    <row r="1511" spans="10:11" x14ac:dyDescent="0.2">
      <c r="J1511" s="6"/>
      <c r="K1511" s="6"/>
    </row>
    <row r="1512" spans="10:11" x14ac:dyDescent="0.2">
      <c r="J1512" s="6"/>
      <c r="K1512" s="6"/>
    </row>
    <row r="1513" spans="10:11" x14ac:dyDescent="0.2">
      <c r="J1513" s="6"/>
      <c r="K1513" s="6"/>
    </row>
    <row r="1514" spans="10:11" x14ac:dyDescent="0.2">
      <c r="J1514" s="6"/>
      <c r="K1514" s="6"/>
    </row>
    <row r="1515" spans="10:11" x14ac:dyDescent="0.2">
      <c r="J1515" s="6"/>
      <c r="K1515" s="6"/>
    </row>
    <row r="1516" spans="10:11" x14ac:dyDescent="0.2">
      <c r="J1516" s="6"/>
      <c r="K1516" s="6"/>
    </row>
    <row r="1517" spans="10:11" x14ac:dyDescent="0.2">
      <c r="J1517" s="6"/>
      <c r="K1517" s="6"/>
    </row>
    <row r="1518" spans="10:11" x14ac:dyDescent="0.2">
      <c r="J1518" s="6"/>
      <c r="K1518" s="6"/>
    </row>
    <row r="1519" spans="10:11" x14ac:dyDescent="0.2">
      <c r="J1519" s="6"/>
      <c r="K1519" s="6"/>
    </row>
    <row r="1520" spans="10:11" x14ac:dyDescent="0.2">
      <c r="J1520" s="6"/>
      <c r="K1520" s="6"/>
    </row>
    <row r="1521" spans="10:11" x14ac:dyDescent="0.2">
      <c r="J1521" s="6"/>
      <c r="K1521" s="6"/>
    </row>
    <row r="1522" spans="10:11" x14ac:dyDescent="0.2">
      <c r="J1522" s="6"/>
      <c r="K1522" s="6"/>
    </row>
    <row r="1523" spans="10:11" x14ac:dyDescent="0.2">
      <c r="J1523" s="6"/>
      <c r="K1523" s="6"/>
    </row>
    <row r="1524" spans="10:11" x14ac:dyDescent="0.2">
      <c r="J1524" s="6"/>
      <c r="K1524" s="6"/>
    </row>
    <row r="1525" spans="10:11" x14ac:dyDescent="0.2">
      <c r="J1525" s="6"/>
      <c r="K1525" s="6"/>
    </row>
    <row r="1526" spans="10:11" x14ac:dyDescent="0.2">
      <c r="J1526" s="6"/>
      <c r="K1526" s="6"/>
    </row>
    <row r="1527" spans="10:11" x14ac:dyDescent="0.2">
      <c r="J1527" s="6"/>
      <c r="K1527" s="6"/>
    </row>
    <row r="1528" spans="10:11" x14ac:dyDescent="0.2">
      <c r="J1528" s="6"/>
      <c r="K1528" s="6"/>
    </row>
    <row r="1529" spans="10:11" x14ac:dyDescent="0.2">
      <c r="J1529" s="6"/>
      <c r="K1529" s="6"/>
    </row>
    <row r="1530" spans="10:11" x14ac:dyDescent="0.2">
      <c r="J1530" s="6"/>
      <c r="K1530" s="6"/>
    </row>
    <row r="1531" spans="10:11" x14ac:dyDescent="0.2">
      <c r="J1531" s="6"/>
      <c r="K1531" s="6"/>
    </row>
    <row r="1532" spans="10:11" x14ac:dyDescent="0.2">
      <c r="J1532" s="6"/>
      <c r="K1532" s="6"/>
    </row>
    <row r="1533" spans="10:11" x14ac:dyDescent="0.2">
      <c r="J1533" s="6"/>
      <c r="K1533" s="6"/>
    </row>
    <row r="1534" spans="10:11" x14ac:dyDescent="0.2">
      <c r="J1534" s="6"/>
      <c r="K1534" s="6"/>
    </row>
    <row r="1535" spans="10:11" x14ac:dyDescent="0.2">
      <c r="J1535" s="6"/>
      <c r="K1535" s="6"/>
    </row>
    <row r="1536" spans="10:11" x14ac:dyDescent="0.2">
      <c r="J1536" s="6"/>
      <c r="K1536" s="6"/>
    </row>
    <row r="1537" spans="10:11" x14ac:dyDescent="0.2">
      <c r="J1537" s="6"/>
      <c r="K1537" s="6"/>
    </row>
    <row r="1538" spans="10:11" x14ac:dyDescent="0.2">
      <c r="J1538" s="6"/>
      <c r="K1538" s="6"/>
    </row>
    <row r="1539" spans="10:11" x14ac:dyDescent="0.2">
      <c r="J1539" s="6"/>
      <c r="K1539" s="6"/>
    </row>
    <row r="1540" spans="10:11" x14ac:dyDescent="0.2">
      <c r="J1540" s="6"/>
      <c r="K1540" s="6"/>
    </row>
    <row r="1541" spans="10:11" x14ac:dyDescent="0.2">
      <c r="J1541" s="6"/>
      <c r="K1541" s="6"/>
    </row>
    <row r="1542" spans="10:11" x14ac:dyDescent="0.2">
      <c r="J1542" s="6"/>
      <c r="K1542" s="6"/>
    </row>
    <row r="1543" spans="10:11" x14ac:dyDescent="0.2">
      <c r="J1543" s="6"/>
      <c r="K1543" s="6"/>
    </row>
    <row r="1544" spans="10:11" x14ac:dyDescent="0.2">
      <c r="J1544" s="6"/>
      <c r="K1544" s="6"/>
    </row>
    <row r="1545" spans="10:11" x14ac:dyDescent="0.2">
      <c r="J1545" s="6"/>
      <c r="K1545" s="6"/>
    </row>
    <row r="1546" spans="10:11" x14ac:dyDescent="0.2">
      <c r="J1546" s="6"/>
      <c r="K1546" s="6"/>
    </row>
    <row r="1547" spans="10:11" x14ac:dyDescent="0.2">
      <c r="J1547" s="6"/>
      <c r="K1547" s="6"/>
    </row>
    <row r="1548" spans="10:11" x14ac:dyDescent="0.2">
      <c r="J1548" s="6"/>
      <c r="K1548" s="6"/>
    </row>
    <row r="1549" spans="10:11" x14ac:dyDescent="0.2">
      <c r="J1549" s="6"/>
      <c r="K1549" s="6"/>
    </row>
    <row r="1550" spans="10:11" x14ac:dyDescent="0.2">
      <c r="J1550" s="6"/>
      <c r="K1550" s="6"/>
    </row>
    <row r="1551" spans="10:11" x14ac:dyDescent="0.2">
      <c r="J1551" s="6"/>
      <c r="K1551" s="6"/>
    </row>
    <row r="1552" spans="10:11" x14ac:dyDescent="0.2">
      <c r="J1552" s="6"/>
      <c r="K1552" s="6"/>
    </row>
    <row r="1553" spans="10:11" x14ac:dyDescent="0.2">
      <c r="J1553" s="6"/>
      <c r="K1553" s="6"/>
    </row>
    <row r="1554" spans="10:11" x14ac:dyDescent="0.2">
      <c r="J1554" s="6"/>
      <c r="K1554" s="6"/>
    </row>
    <row r="1555" spans="10:11" x14ac:dyDescent="0.2">
      <c r="J1555" s="6"/>
      <c r="K1555" s="6"/>
    </row>
    <row r="1556" spans="10:11" x14ac:dyDescent="0.2">
      <c r="J1556" s="6"/>
      <c r="K1556" s="6"/>
    </row>
    <row r="1557" spans="10:11" x14ac:dyDescent="0.2">
      <c r="J1557" s="6"/>
      <c r="K1557" s="6"/>
    </row>
    <row r="1558" spans="10:11" x14ac:dyDescent="0.2">
      <c r="J1558" s="6"/>
      <c r="K1558" s="6"/>
    </row>
    <row r="1559" spans="10:11" x14ac:dyDescent="0.2">
      <c r="J1559" s="6"/>
      <c r="K1559" s="6"/>
    </row>
    <row r="1560" spans="10:11" x14ac:dyDescent="0.2">
      <c r="J1560" s="6"/>
      <c r="K1560" s="6"/>
    </row>
    <row r="1561" spans="10:11" x14ac:dyDescent="0.2">
      <c r="J1561" s="6"/>
      <c r="K1561" s="6"/>
    </row>
    <row r="1562" spans="10:11" x14ac:dyDescent="0.2">
      <c r="J1562" s="6"/>
      <c r="K1562" s="6"/>
    </row>
    <row r="1563" spans="10:11" x14ac:dyDescent="0.2">
      <c r="J1563" s="6"/>
      <c r="K1563" s="6"/>
    </row>
    <row r="1564" spans="10:11" x14ac:dyDescent="0.2">
      <c r="J1564" s="6"/>
      <c r="K1564" s="6"/>
    </row>
    <row r="1565" spans="10:11" x14ac:dyDescent="0.2">
      <c r="J1565" s="6"/>
      <c r="K1565" s="6"/>
    </row>
    <row r="1566" spans="10:11" x14ac:dyDescent="0.2">
      <c r="J1566" s="6"/>
      <c r="K1566" s="6"/>
    </row>
    <row r="1567" spans="10:11" x14ac:dyDescent="0.2">
      <c r="J1567" s="6"/>
      <c r="K1567" s="6"/>
    </row>
    <row r="1568" spans="10:11" x14ac:dyDescent="0.2">
      <c r="J1568" s="6"/>
      <c r="K1568" s="6"/>
    </row>
    <row r="1569" spans="10:11" x14ac:dyDescent="0.2">
      <c r="J1569" s="6"/>
      <c r="K1569" s="6"/>
    </row>
    <row r="1570" spans="10:11" x14ac:dyDescent="0.2">
      <c r="J1570" s="6"/>
      <c r="K1570" s="6"/>
    </row>
    <row r="1571" spans="10:11" x14ac:dyDescent="0.2">
      <c r="J1571" s="6"/>
      <c r="K1571" s="6"/>
    </row>
    <row r="1572" spans="10:11" x14ac:dyDescent="0.2">
      <c r="J1572" s="6"/>
      <c r="K1572" s="6"/>
    </row>
    <row r="1573" spans="10:11" x14ac:dyDescent="0.2">
      <c r="J1573" s="6"/>
      <c r="K1573" s="6"/>
    </row>
    <row r="1574" spans="10:11" x14ac:dyDescent="0.2">
      <c r="J1574" s="6"/>
      <c r="K1574" s="6"/>
    </row>
    <row r="1575" spans="10:11" x14ac:dyDescent="0.2">
      <c r="J1575" s="6"/>
      <c r="K1575" s="6"/>
    </row>
    <row r="1576" spans="10:11" x14ac:dyDescent="0.2">
      <c r="J1576" s="6"/>
      <c r="K1576" s="6"/>
    </row>
    <row r="1577" spans="10:11" x14ac:dyDescent="0.2">
      <c r="J1577" s="6"/>
      <c r="K1577" s="6"/>
    </row>
    <row r="1578" spans="10:11" x14ac:dyDescent="0.2">
      <c r="J1578" s="6"/>
      <c r="K1578" s="6"/>
    </row>
    <row r="1579" spans="10:11" x14ac:dyDescent="0.2">
      <c r="J1579" s="6"/>
      <c r="K1579" s="6"/>
    </row>
    <row r="1580" spans="10:11" x14ac:dyDescent="0.2">
      <c r="J1580" s="6"/>
      <c r="K1580" s="6"/>
    </row>
    <row r="1581" spans="10:11" x14ac:dyDescent="0.2">
      <c r="J1581" s="6"/>
      <c r="K1581" s="6"/>
    </row>
    <row r="1582" spans="10:11" x14ac:dyDescent="0.2">
      <c r="J1582" s="6"/>
      <c r="K1582" s="6"/>
    </row>
    <row r="1583" spans="10:11" x14ac:dyDescent="0.2">
      <c r="J1583" s="6"/>
      <c r="K1583" s="6"/>
    </row>
    <row r="1584" spans="10:11" x14ac:dyDescent="0.2">
      <c r="J1584" s="6"/>
      <c r="K1584" s="6"/>
    </row>
    <row r="1585" spans="10:11" x14ac:dyDescent="0.2">
      <c r="J1585" s="6"/>
      <c r="K1585" s="6"/>
    </row>
    <row r="1586" spans="10:11" x14ac:dyDescent="0.2">
      <c r="J1586" s="6"/>
      <c r="K1586" s="6"/>
    </row>
    <row r="1587" spans="10:11" x14ac:dyDescent="0.2">
      <c r="J1587" s="6"/>
      <c r="K1587" s="6"/>
    </row>
    <row r="1588" spans="10:11" x14ac:dyDescent="0.2">
      <c r="J1588" s="6"/>
      <c r="K1588" s="6"/>
    </row>
    <row r="1589" spans="10:11" x14ac:dyDescent="0.2">
      <c r="J1589" s="6"/>
      <c r="K1589" s="6"/>
    </row>
    <row r="1590" spans="10:11" x14ac:dyDescent="0.2">
      <c r="J1590" s="6"/>
      <c r="K1590" s="6"/>
    </row>
    <row r="1591" spans="10:11" x14ac:dyDescent="0.2">
      <c r="J1591" s="6"/>
      <c r="K1591" s="6"/>
    </row>
    <row r="1592" spans="10:11" x14ac:dyDescent="0.2">
      <c r="J1592" s="6"/>
      <c r="K1592" s="6"/>
    </row>
    <row r="1593" spans="10:11" x14ac:dyDescent="0.2">
      <c r="J1593" s="6"/>
      <c r="K1593" s="6"/>
    </row>
    <row r="1594" spans="10:11" x14ac:dyDescent="0.2">
      <c r="J1594" s="6"/>
      <c r="K1594" s="6"/>
    </row>
    <row r="1595" spans="10:11" x14ac:dyDescent="0.2">
      <c r="J1595" s="6"/>
      <c r="K1595" s="6"/>
    </row>
    <row r="1596" spans="10:11" x14ac:dyDescent="0.2">
      <c r="J1596" s="6"/>
      <c r="K1596" s="6"/>
    </row>
    <row r="1597" spans="10:11" x14ac:dyDescent="0.2">
      <c r="J1597" s="6"/>
      <c r="K1597" s="6"/>
    </row>
    <row r="1598" spans="10:11" x14ac:dyDescent="0.2">
      <c r="J1598" s="6"/>
      <c r="K1598" s="6"/>
    </row>
    <row r="1599" spans="10:11" x14ac:dyDescent="0.2">
      <c r="J1599" s="6"/>
      <c r="K1599" s="6"/>
    </row>
    <row r="1600" spans="10:11" x14ac:dyDescent="0.2">
      <c r="J1600" s="6"/>
      <c r="K1600" s="6"/>
    </row>
    <row r="1601" spans="10:11" x14ac:dyDescent="0.2">
      <c r="J1601" s="6"/>
      <c r="K1601" s="6"/>
    </row>
    <row r="1602" spans="10:11" x14ac:dyDescent="0.2">
      <c r="J1602" s="6"/>
      <c r="K1602" s="6"/>
    </row>
    <row r="1603" spans="10:11" x14ac:dyDescent="0.2">
      <c r="J1603" s="6"/>
      <c r="K1603" s="6"/>
    </row>
    <row r="1604" spans="10:11" x14ac:dyDescent="0.2">
      <c r="J1604" s="6"/>
      <c r="K1604" s="6"/>
    </row>
    <row r="1605" spans="10:11" x14ac:dyDescent="0.2">
      <c r="J1605" s="6"/>
      <c r="K1605" s="6"/>
    </row>
    <row r="1606" spans="10:11" x14ac:dyDescent="0.2">
      <c r="J1606" s="6"/>
      <c r="K1606" s="6"/>
    </row>
    <row r="1607" spans="10:11" x14ac:dyDescent="0.2">
      <c r="J1607" s="6"/>
      <c r="K1607" s="6"/>
    </row>
    <row r="1608" spans="10:11" x14ac:dyDescent="0.2">
      <c r="J1608" s="6"/>
      <c r="K1608" s="6"/>
    </row>
    <row r="1609" spans="10:11" x14ac:dyDescent="0.2">
      <c r="J1609" s="6"/>
      <c r="K1609" s="6"/>
    </row>
    <row r="1610" spans="10:11" x14ac:dyDescent="0.2">
      <c r="J1610" s="6"/>
      <c r="K1610" s="6"/>
    </row>
    <row r="1611" spans="10:11" x14ac:dyDescent="0.2">
      <c r="J1611" s="6"/>
      <c r="K1611" s="6"/>
    </row>
    <row r="1612" spans="10:11" x14ac:dyDescent="0.2">
      <c r="J1612" s="6"/>
      <c r="K1612" s="6"/>
    </row>
    <row r="1613" spans="10:11" x14ac:dyDescent="0.2">
      <c r="J1613" s="6"/>
      <c r="K1613" s="6"/>
    </row>
    <row r="1614" spans="10:11" x14ac:dyDescent="0.2">
      <c r="J1614" s="6"/>
      <c r="K1614" s="6"/>
    </row>
    <row r="1615" spans="10:11" x14ac:dyDescent="0.2">
      <c r="J1615" s="6"/>
      <c r="K1615" s="6"/>
    </row>
    <row r="1616" spans="10:11" x14ac:dyDescent="0.2">
      <c r="J1616" s="6"/>
      <c r="K1616" s="6"/>
    </row>
    <row r="1617" spans="10:11" x14ac:dyDescent="0.2">
      <c r="J1617" s="6"/>
      <c r="K1617" s="6"/>
    </row>
    <row r="1618" spans="10:11" x14ac:dyDescent="0.2">
      <c r="J1618" s="6"/>
      <c r="K1618" s="6"/>
    </row>
    <row r="1619" spans="10:11" x14ac:dyDescent="0.2">
      <c r="J1619" s="6"/>
      <c r="K1619" s="6"/>
    </row>
    <row r="1620" spans="10:11" x14ac:dyDescent="0.2">
      <c r="J1620" s="6"/>
      <c r="K1620" s="6"/>
    </row>
    <row r="1621" spans="10:11" x14ac:dyDescent="0.2">
      <c r="J1621" s="6"/>
      <c r="K1621" s="6"/>
    </row>
    <row r="1622" spans="10:11" x14ac:dyDescent="0.2">
      <c r="J1622" s="6"/>
      <c r="K1622" s="6"/>
    </row>
    <row r="1623" spans="10:11" x14ac:dyDescent="0.2">
      <c r="J1623" s="6"/>
      <c r="K1623" s="6"/>
    </row>
    <row r="1624" spans="10:11" x14ac:dyDescent="0.2">
      <c r="J1624" s="6"/>
      <c r="K1624" s="6"/>
    </row>
    <row r="1625" spans="10:11" x14ac:dyDescent="0.2">
      <c r="J1625" s="6"/>
      <c r="K1625" s="6"/>
    </row>
    <row r="1626" spans="10:11" x14ac:dyDescent="0.2">
      <c r="J1626" s="6"/>
      <c r="K1626" s="6"/>
    </row>
    <row r="1627" spans="10:11" x14ac:dyDescent="0.2">
      <c r="J1627" s="6"/>
      <c r="K1627" s="6"/>
    </row>
    <row r="1628" spans="10:11" x14ac:dyDescent="0.2">
      <c r="J1628" s="6"/>
      <c r="K1628" s="6"/>
    </row>
    <row r="1629" spans="10:11" x14ac:dyDescent="0.2">
      <c r="J1629" s="6"/>
      <c r="K1629" s="6"/>
    </row>
    <row r="1630" spans="10:11" x14ac:dyDescent="0.2">
      <c r="J1630" s="6"/>
      <c r="K1630" s="6"/>
    </row>
    <row r="1631" spans="10:11" x14ac:dyDescent="0.2">
      <c r="J1631" s="6"/>
      <c r="K1631" s="6"/>
    </row>
    <row r="1632" spans="10:11" x14ac:dyDescent="0.2">
      <c r="J1632" s="6"/>
      <c r="K1632" s="6"/>
    </row>
    <row r="1633" spans="10:11" x14ac:dyDescent="0.2">
      <c r="J1633" s="6"/>
      <c r="K1633" s="6"/>
    </row>
    <row r="1634" spans="10:11" x14ac:dyDescent="0.2">
      <c r="J1634" s="6"/>
      <c r="K1634" s="6"/>
    </row>
    <row r="1635" spans="10:11" x14ac:dyDescent="0.2">
      <c r="J1635" s="6"/>
      <c r="K1635" s="6"/>
    </row>
    <row r="1636" spans="10:11" x14ac:dyDescent="0.2">
      <c r="J1636" s="6"/>
      <c r="K1636" s="6"/>
    </row>
    <row r="1637" spans="10:11" x14ac:dyDescent="0.2">
      <c r="J1637" s="6"/>
      <c r="K1637" s="6"/>
    </row>
    <row r="1638" spans="10:11" x14ac:dyDescent="0.2">
      <c r="J1638" s="6"/>
      <c r="K1638" s="6"/>
    </row>
    <row r="1639" spans="10:11" x14ac:dyDescent="0.2">
      <c r="J1639" s="6"/>
      <c r="K1639" s="6"/>
    </row>
    <row r="1640" spans="10:11" x14ac:dyDescent="0.2">
      <c r="J1640" s="6"/>
      <c r="K1640" s="6"/>
    </row>
    <row r="1641" spans="10:11" x14ac:dyDescent="0.2">
      <c r="J1641" s="6"/>
      <c r="K1641" s="6"/>
    </row>
    <row r="1642" spans="10:11" x14ac:dyDescent="0.2">
      <c r="J1642" s="6"/>
      <c r="K1642" s="6"/>
    </row>
    <row r="1643" spans="10:11" x14ac:dyDescent="0.2">
      <c r="J1643" s="6"/>
      <c r="K1643" s="6"/>
    </row>
    <row r="1644" spans="10:11" x14ac:dyDescent="0.2">
      <c r="J1644" s="6"/>
      <c r="K1644" s="6"/>
    </row>
    <row r="1645" spans="10:11" x14ac:dyDescent="0.2">
      <c r="J1645" s="6"/>
      <c r="K1645" s="6"/>
    </row>
    <row r="1646" spans="10:11" x14ac:dyDescent="0.2">
      <c r="J1646" s="6"/>
      <c r="K1646" s="6"/>
    </row>
    <row r="1647" spans="10:11" x14ac:dyDescent="0.2">
      <c r="J1647" s="6"/>
      <c r="K1647" s="6"/>
    </row>
    <row r="1648" spans="10:11" x14ac:dyDescent="0.2">
      <c r="J1648" s="6"/>
      <c r="K1648" s="6"/>
    </row>
    <row r="1649" spans="10:11" x14ac:dyDescent="0.2">
      <c r="J1649" s="6"/>
      <c r="K1649" s="6"/>
    </row>
    <row r="1650" spans="10:11" x14ac:dyDescent="0.2">
      <c r="J1650" s="6"/>
      <c r="K1650" s="6"/>
    </row>
    <row r="1651" spans="10:11" x14ac:dyDescent="0.2">
      <c r="J1651" s="6"/>
      <c r="K1651" s="6"/>
    </row>
    <row r="1652" spans="10:11" x14ac:dyDescent="0.2">
      <c r="J1652" s="6"/>
      <c r="K1652" s="6"/>
    </row>
    <row r="1653" spans="10:11" x14ac:dyDescent="0.2">
      <c r="J1653" s="6"/>
      <c r="K1653" s="6"/>
    </row>
    <row r="1654" spans="10:11" x14ac:dyDescent="0.2">
      <c r="J1654" s="6"/>
      <c r="K1654" s="6"/>
    </row>
    <row r="1655" spans="10:11" x14ac:dyDescent="0.2">
      <c r="J1655" s="6"/>
      <c r="K1655" s="6"/>
    </row>
    <row r="1656" spans="10:11" x14ac:dyDescent="0.2">
      <c r="J1656" s="6"/>
      <c r="K1656" s="6"/>
    </row>
    <row r="1657" spans="10:11" x14ac:dyDescent="0.2">
      <c r="J1657" s="6"/>
      <c r="K1657" s="6"/>
    </row>
    <row r="1658" spans="10:11" x14ac:dyDescent="0.2">
      <c r="J1658" s="6"/>
      <c r="K1658" s="6"/>
    </row>
    <row r="1659" spans="10:11" x14ac:dyDescent="0.2">
      <c r="J1659" s="6"/>
      <c r="K1659" s="6"/>
    </row>
    <row r="1660" spans="10:11" x14ac:dyDescent="0.2">
      <c r="J1660" s="6"/>
      <c r="K1660" s="6"/>
    </row>
    <row r="1661" spans="10:11" x14ac:dyDescent="0.2">
      <c r="J1661" s="6"/>
      <c r="K1661" s="6"/>
    </row>
    <row r="1662" spans="10:11" x14ac:dyDescent="0.2">
      <c r="J1662" s="6"/>
      <c r="K1662" s="6"/>
    </row>
    <row r="1663" spans="10:11" x14ac:dyDescent="0.2">
      <c r="J1663" s="6"/>
      <c r="K1663" s="6"/>
    </row>
    <row r="1664" spans="10:11" x14ac:dyDescent="0.2">
      <c r="J1664" s="6"/>
      <c r="K1664" s="6"/>
    </row>
    <row r="1665" spans="10:11" x14ac:dyDescent="0.2">
      <c r="J1665" s="6"/>
      <c r="K1665" s="6"/>
    </row>
    <row r="1666" spans="10:11" x14ac:dyDescent="0.2">
      <c r="J1666" s="6"/>
      <c r="K1666" s="6"/>
    </row>
    <row r="1667" spans="10:11" x14ac:dyDescent="0.2">
      <c r="J1667" s="6"/>
      <c r="K1667" s="6"/>
    </row>
    <row r="1668" spans="10:11" x14ac:dyDescent="0.2">
      <c r="J1668" s="6"/>
      <c r="K1668" s="6"/>
    </row>
    <row r="1669" spans="10:11" x14ac:dyDescent="0.2">
      <c r="J1669" s="6"/>
      <c r="K1669" s="6"/>
    </row>
    <row r="1670" spans="10:11" x14ac:dyDescent="0.2">
      <c r="J1670" s="6"/>
      <c r="K1670" s="6"/>
    </row>
    <row r="1671" spans="10:11" x14ac:dyDescent="0.2">
      <c r="J1671" s="6"/>
      <c r="K1671" s="6"/>
    </row>
    <row r="1672" spans="10:11" x14ac:dyDescent="0.2">
      <c r="J1672" s="6"/>
      <c r="K1672" s="6"/>
    </row>
    <row r="1673" spans="10:11" x14ac:dyDescent="0.2">
      <c r="J1673" s="6"/>
      <c r="K1673" s="6"/>
    </row>
    <row r="1674" spans="10:11" x14ac:dyDescent="0.2">
      <c r="J1674" s="6"/>
      <c r="K1674" s="6"/>
    </row>
    <row r="1675" spans="10:11" x14ac:dyDescent="0.2">
      <c r="J1675" s="6"/>
      <c r="K1675" s="6"/>
    </row>
    <row r="1676" spans="10:11" x14ac:dyDescent="0.2">
      <c r="J1676" s="6"/>
      <c r="K1676" s="6"/>
    </row>
    <row r="1677" spans="10:11" x14ac:dyDescent="0.2">
      <c r="J1677" s="6"/>
      <c r="K1677" s="6"/>
    </row>
    <row r="1678" spans="10:11" x14ac:dyDescent="0.2">
      <c r="J1678" s="6"/>
      <c r="K1678" s="6"/>
    </row>
    <row r="1679" spans="10:11" x14ac:dyDescent="0.2">
      <c r="J1679" s="6"/>
      <c r="K1679" s="6"/>
    </row>
    <row r="1680" spans="10:11" x14ac:dyDescent="0.2">
      <c r="J1680" s="6"/>
      <c r="K1680" s="6"/>
    </row>
    <row r="1681" spans="10:11" x14ac:dyDescent="0.2">
      <c r="J1681" s="6"/>
      <c r="K1681" s="6"/>
    </row>
    <row r="1682" spans="10:11" x14ac:dyDescent="0.2">
      <c r="J1682" s="6"/>
      <c r="K1682" s="6"/>
    </row>
    <row r="1683" spans="10:11" x14ac:dyDescent="0.2">
      <c r="J1683" s="6"/>
      <c r="K1683" s="6"/>
    </row>
    <row r="1684" spans="10:11" x14ac:dyDescent="0.2">
      <c r="J1684" s="6"/>
      <c r="K1684" s="6"/>
    </row>
    <row r="1685" spans="10:11" x14ac:dyDescent="0.2">
      <c r="J1685" s="6"/>
      <c r="K1685" s="6"/>
    </row>
    <row r="1686" spans="10:11" x14ac:dyDescent="0.2">
      <c r="J1686" s="6"/>
      <c r="K1686" s="6"/>
    </row>
    <row r="1687" spans="10:11" x14ac:dyDescent="0.2">
      <c r="J1687" s="6"/>
      <c r="K1687" s="6"/>
    </row>
    <row r="1688" spans="10:11" x14ac:dyDescent="0.2">
      <c r="J1688" s="6"/>
      <c r="K1688" s="6"/>
    </row>
    <row r="1689" spans="10:11" x14ac:dyDescent="0.2">
      <c r="J1689" s="6"/>
      <c r="K1689" s="6"/>
    </row>
    <row r="1690" spans="10:11" x14ac:dyDescent="0.2">
      <c r="J1690" s="6"/>
      <c r="K1690" s="6"/>
    </row>
    <row r="1691" spans="10:11" x14ac:dyDescent="0.2">
      <c r="J1691" s="6"/>
      <c r="K1691" s="6"/>
    </row>
    <row r="1692" spans="10:11" x14ac:dyDescent="0.2">
      <c r="J1692" s="6"/>
      <c r="K1692" s="6"/>
    </row>
    <row r="1693" spans="10:11" x14ac:dyDescent="0.2">
      <c r="J1693" s="6"/>
      <c r="K1693" s="6"/>
    </row>
    <row r="1694" spans="10:11" x14ac:dyDescent="0.2">
      <c r="J1694" s="6"/>
      <c r="K1694" s="6"/>
    </row>
    <row r="1695" spans="10:11" x14ac:dyDescent="0.2">
      <c r="J1695" s="6"/>
      <c r="K1695" s="6"/>
    </row>
    <row r="1696" spans="10:11" x14ac:dyDescent="0.2">
      <c r="J1696" s="6"/>
      <c r="K1696" s="6"/>
    </row>
    <row r="1697" spans="10:11" x14ac:dyDescent="0.2">
      <c r="J1697" s="6"/>
      <c r="K1697" s="6"/>
    </row>
    <row r="1698" spans="10:11" x14ac:dyDescent="0.2">
      <c r="J1698" s="6"/>
      <c r="K1698" s="6"/>
    </row>
    <row r="1699" spans="10:11" x14ac:dyDescent="0.2">
      <c r="J1699" s="6"/>
      <c r="K1699" s="6"/>
    </row>
    <row r="1700" spans="10:11" x14ac:dyDescent="0.2">
      <c r="J1700" s="6"/>
      <c r="K1700" s="6"/>
    </row>
    <row r="1701" spans="10:11" x14ac:dyDescent="0.2">
      <c r="J1701" s="6"/>
      <c r="K1701" s="6"/>
    </row>
    <row r="1702" spans="10:11" x14ac:dyDescent="0.2">
      <c r="J1702" s="6"/>
      <c r="K1702" s="6"/>
    </row>
    <row r="1703" spans="10:11" x14ac:dyDescent="0.2">
      <c r="J1703" s="6"/>
      <c r="K1703" s="6"/>
    </row>
    <row r="1704" spans="10:11" x14ac:dyDescent="0.2">
      <c r="J1704" s="6"/>
      <c r="K1704" s="6"/>
    </row>
    <row r="1705" spans="10:11" x14ac:dyDescent="0.2">
      <c r="J1705" s="6"/>
      <c r="K1705" s="6"/>
    </row>
    <row r="1706" spans="10:11" x14ac:dyDescent="0.2">
      <c r="J1706" s="6"/>
      <c r="K1706" s="6"/>
    </row>
    <row r="1707" spans="10:11" x14ac:dyDescent="0.2">
      <c r="J1707" s="6"/>
      <c r="K1707" s="6"/>
    </row>
    <row r="1708" spans="10:11" x14ac:dyDescent="0.2">
      <c r="J1708" s="6"/>
      <c r="K1708" s="6"/>
    </row>
    <row r="1709" spans="10:11" x14ac:dyDescent="0.2">
      <c r="J1709" s="6"/>
      <c r="K1709" s="6"/>
    </row>
    <row r="1710" spans="10:11" x14ac:dyDescent="0.2">
      <c r="J1710" s="6"/>
      <c r="K1710" s="6"/>
    </row>
    <row r="1711" spans="10:11" x14ac:dyDescent="0.2">
      <c r="J1711" s="6"/>
      <c r="K1711" s="6"/>
    </row>
    <row r="1712" spans="10:11" x14ac:dyDescent="0.2">
      <c r="J1712" s="6"/>
      <c r="K1712" s="6"/>
    </row>
    <row r="1713" spans="10:11" x14ac:dyDescent="0.2">
      <c r="J1713" s="6"/>
      <c r="K1713" s="6"/>
    </row>
    <row r="1714" spans="10:11" x14ac:dyDescent="0.2">
      <c r="J1714" s="6"/>
      <c r="K1714" s="6"/>
    </row>
    <row r="1715" spans="10:11" x14ac:dyDescent="0.2">
      <c r="J1715" s="6"/>
      <c r="K1715" s="6"/>
    </row>
    <row r="1716" spans="10:11" x14ac:dyDescent="0.2">
      <c r="J1716" s="6"/>
      <c r="K1716" s="6"/>
    </row>
    <row r="1717" spans="10:11" x14ac:dyDescent="0.2">
      <c r="J1717" s="6"/>
      <c r="K1717" s="6"/>
    </row>
    <row r="1718" spans="10:11" x14ac:dyDescent="0.2">
      <c r="J1718" s="6"/>
      <c r="K1718" s="6"/>
    </row>
    <row r="1719" spans="10:11" x14ac:dyDescent="0.2">
      <c r="J1719" s="6"/>
      <c r="K1719" s="6"/>
    </row>
    <row r="1720" spans="10:11" x14ac:dyDescent="0.2">
      <c r="J1720" s="6"/>
      <c r="K1720" s="6"/>
    </row>
    <row r="1721" spans="10:11" x14ac:dyDescent="0.2">
      <c r="J1721" s="6"/>
      <c r="K1721" s="6"/>
    </row>
    <row r="1722" spans="10:11" x14ac:dyDescent="0.2">
      <c r="J1722" s="6"/>
      <c r="K1722" s="6"/>
    </row>
    <row r="1723" spans="10:11" x14ac:dyDescent="0.2">
      <c r="J1723" s="6"/>
      <c r="K1723" s="6"/>
    </row>
    <row r="1724" spans="10:11" x14ac:dyDescent="0.2">
      <c r="J1724" s="6"/>
      <c r="K1724" s="6"/>
    </row>
    <row r="1725" spans="10:11" x14ac:dyDescent="0.2">
      <c r="J1725" s="6"/>
      <c r="K1725" s="6"/>
    </row>
    <row r="1726" spans="10:11" x14ac:dyDescent="0.2">
      <c r="J1726" s="6"/>
      <c r="K1726" s="6"/>
    </row>
    <row r="1727" spans="10:11" x14ac:dyDescent="0.2">
      <c r="J1727" s="6"/>
      <c r="K1727" s="6"/>
    </row>
    <row r="1728" spans="10:11" x14ac:dyDescent="0.2">
      <c r="J1728" s="6"/>
      <c r="K1728" s="6"/>
    </row>
    <row r="1729" spans="10:11" x14ac:dyDescent="0.2">
      <c r="J1729" s="6"/>
      <c r="K1729" s="6"/>
    </row>
    <row r="1730" spans="10:11" x14ac:dyDescent="0.2">
      <c r="J1730" s="6"/>
      <c r="K1730" s="6"/>
    </row>
    <row r="1731" spans="10:11" x14ac:dyDescent="0.2">
      <c r="J1731" s="6"/>
      <c r="K1731" s="6"/>
    </row>
    <row r="1732" spans="10:11" x14ac:dyDescent="0.2">
      <c r="J1732" s="6"/>
      <c r="K1732" s="6"/>
    </row>
    <row r="1733" spans="10:11" x14ac:dyDescent="0.2">
      <c r="J1733" s="6"/>
      <c r="K1733" s="6"/>
    </row>
    <row r="1734" spans="10:11" x14ac:dyDescent="0.2">
      <c r="J1734" s="6"/>
      <c r="K1734" s="6"/>
    </row>
    <row r="1735" spans="10:11" x14ac:dyDescent="0.2">
      <c r="J1735" s="6"/>
      <c r="K1735" s="6"/>
    </row>
    <row r="1736" spans="10:11" x14ac:dyDescent="0.2">
      <c r="J1736" s="6"/>
      <c r="K1736" s="6"/>
    </row>
    <row r="1737" spans="10:11" x14ac:dyDescent="0.2">
      <c r="J1737" s="6"/>
      <c r="K1737" s="6"/>
    </row>
    <row r="1738" spans="10:11" x14ac:dyDescent="0.2">
      <c r="J1738" s="6"/>
      <c r="K1738" s="6"/>
    </row>
    <row r="1739" spans="10:11" x14ac:dyDescent="0.2">
      <c r="J1739" s="6"/>
      <c r="K1739" s="6"/>
    </row>
    <row r="1740" spans="10:11" x14ac:dyDescent="0.2">
      <c r="J1740" s="6"/>
      <c r="K1740" s="6"/>
    </row>
    <row r="1741" spans="10:11" x14ac:dyDescent="0.2">
      <c r="J1741" s="6"/>
      <c r="K1741" s="6"/>
    </row>
    <row r="1742" spans="10:11" x14ac:dyDescent="0.2">
      <c r="J1742" s="6"/>
      <c r="K1742" s="6"/>
    </row>
    <row r="1743" spans="10:11" x14ac:dyDescent="0.2">
      <c r="J1743" s="6"/>
      <c r="K1743" s="6"/>
    </row>
    <row r="1744" spans="10:11" x14ac:dyDescent="0.2">
      <c r="J1744" s="6"/>
      <c r="K1744" s="6"/>
    </row>
    <row r="1745" spans="10:11" x14ac:dyDescent="0.2">
      <c r="J1745" s="6"/>
      <c r="K1745" s="6"/>
    </row>
    <row r="1746" spans="10:11" x14ac:dyDescent="0.2">
      <c r="J1746" s="6"/>
      <c r="K1746" s="6"/>
    </row>
    <row r="1747" spans="10:11" x14ac:dyDescent="0.2">
      <c r="J1747" s="6"/>
      <c r="K1747" s="6"/>
    </row>
    <row r="1748" spans="10:11" x14ac:dyDescent="0.2">
      <c r="J1748" s="6"/>
      <c r="K1748" s="6"/>
    </row>
    <row r="1749" spans="10:11" x14ac:dyDescent="0.2">
      <c r="J1749" s="6"/>
      <c r="K1749" s="6"/>
    </row>
    <row r="1750" spans="10:11" x14ac:dyDescent="0.2">
      <c r="J1750" s="6"/>
      <c r="K1750" s="6"/>
    </row>
    <row r="1751" spans="10:11" x14ac:dyDescent="0.2">
      <c r="J1751" s="6"/>
      <c r="K1751" s="6"/>
    </row>
    <row r="1752" spans="10:11" x14ac:dyDescent="0.2">
      <c r="J1752" s="6"/>
      <c r="K1752" s="6"/>
    </row>
    <row r="1753" spans="10:11" x14ac:dyDescent="0.2">
      <c r="J1753" s="6"/>
      <c r="K1753" s="6"/>
    </row>
    <row r="1754" spans="10:11" x14ac:dyDescent="0.2">
      <c r="J1754" s="6"/>
      <c r="K1754" s="6"/>
    </row>
    <row r="1755" spans="10:11" x14ac:dyDescent="0.2">
      <c r="J1755" s="6"/>
      <c r="K1755" s="6"/>
    </row>
    <row r="1756" spans="10:11" x14ac:dyDescent="0.2">
      <c r="J1756" s="6"/>
      <c r="K1756" s="6"/>
    </row>
    <row r="1757" spans="10:11" x14ac:dyDescent="0.2">
      <c r="J1757" s="6"/>
      <c r="K1757" s="6"/>
    </row>
    <row r="1758" spans="10:11" x14ac:dyDescent="0.2">
      <c r="J1758" s="6"/>
      <c r="K1758" s="6"/>
    </row>
    <row r="1759" spans="10:11" x14ac:dyDescent="0.2">
      <c r="J1759" s="6"/>
      <c r="K1759" s="6"/>
    </row>
    <row r="1760" spans="10:11" x14ac:dyDescent="0.2">
      <c r="J1760" s="6"/>
      <c r="K1760" s="6"/>
    </row>
    <row r="1761" spans="10:11" x14ac:dyDescent="0.2">
      <c r="J1761" s="6"/>
      <c r="K1761" s="6"/>
    </row>
    <row r="1762" spans="10:11" x14ac:dyDescent="0.2">
      <c r="J1762" s="6"/>
      <c r="K1762" s="6"/>
    </row>
    <row r="1763" spans="10:11" x14ac:dyDescent="0.2">
      <c r="J1763" s="6"/>
      <c r="K1763" s="6"/>
    </row>
    <row r="1764" spans="10:11" x14ac:dyDescent="0.2">
      <c r="J1764" s="6"/>
      <c r="K1764" s="6"/>
    </row>
    <row r="1765" spans="10:11" x14ac:dyDescent="0.2">
      <c r="J1765" s="6"/>
      <c r="K1765" s="6"/>
    </row>
    <row r="1766" spans="10:11" x14ac:dyDescent="0.2">
      <c r="J1766" s="6"/>
      <c r="K1766" s="6"/>
    </row>
    <row r="1767" spans="10:11" x14ac:dyDescent="0.2">
      <c r="J1767" s="6"/>
      <c r="K1767" s="6"/>
    </row>
    <row r="1768" spans="10:11" x14ac:dyDescent="0.2">
      <c r="J1768" s="6"/>
      <c r="K1768" s="6"/>
    </row>
    <row r="1769" spans="10:11" x14ac:dyDescent="0.2">
      <c r="J1769" s="6"/>
      <c r="K1769" s="6"/>
    </row>
    <row r="1770" spans="10:11" x14ac:dyDescent="0.2">
      <c r="J1770" s="6"/>
      <c r="K1770" s="6"/>
    </row>
    <row r="1771" spans="10:11" x14ac:dyDescent="0.2">
      <c r="J1771" s="6"/>
      <c r="K1771" s="6"/>
    </row>
    <row r="1772" spans="10:11" x14ac:dyDescent="0.2">
      <c r="J1772" s="6"/>
      <c r="K1772" s="6"/>
    </row>
    <row r="1773" spans="10:11" x14ac:dyDescent="0.2">
      <c r="J1773" s="6"/>
      <c r="K1773" s="6"/>
    </row>
    <row r="1774" spans="10:11" x14ac:dyDescent="0.2">
      <c r="J1774" s="6"/>
      <c r="K1774" s="6"/>
    </row>
    <row r="1775" spans="10:11" x14ac:dyDescent="0.2">
      <c r="J1775" s="6"/>
      <c r="K1775" s="6"/>
    </row>
    <row r="1776" spans="10:11" x14ac:dyDescent="0.2">
      <c r="J1776" s="6"/>
      <c r="K1776" s="6"/>
    </row>
    <row r="1777" spans="10:11" x14ac:dyDescent="0.2">
      <c r="J1777" s="6"/>
      <c r="K1777" s="6"/>
    </row>
    <row r="1778" spans="10:11" x14ac:dyDescent="0.2">
      <c r="J1778" s="6"/>
      <c r="K1778" s="6"/>
    </row>
    <row r="1779" spans="10:11" x14ac:dyDescent="0.2">
      <c r="J1779" s="6"/>
      <c r="K1779" s="6"/>
    </row>
    <row r="1780" spans="10:11" x14ac:dyDescent="0.2">
      <c r="J1780" s="6"/>
      <c r="K1780" s="6"/>
    </row>
    <row r="1781" spans="10:11" x14ac:dyDescent="0.2">
      <c r="J1781" s="6"/>
      <c r="K1781" s="6"/>
    </row>
    <row r="1782" spans="10:11" x14ac:dyDescent="0.2">
      <c r="J1782" s="6"/>
      <c r="K1782" s="6"/>
    </row>
    <row r="1783" spans="10:11" x14ac:dyDescent="0.2">
      <c r="J1783" s="6"/>
      <c r="K1783" s="6"/>
    </row>
    <row r="1784" spans="10:11" x14ac:dyDescent="0.2">
      <c r="J1784" s="6"/>
      <c r="K1784" s="6"/>
    </row>
    <row r="1785" spans="10:11" x14ac:dyDescent="0.2">
      <c r="J1785" s="6"/>
      <c r="K1785" s="6"/>
    </row>
    <row r="1786" spans="10:11" x14ac:dyDescent="0.2">
      <c r="J1786" s="6"/>
      <c r="K1786" s="6"/>
    </row>
    <row r="1787" spans="10:11" x14ac:dyDescent="0.2">
      <c r="J1787" s="6"/>
      <c r="K1787" s="6"/>
    </row>
    <row r="1788" spans="10:11" x14ac:dyDescent="0.2">
      <c r="J1788" s="6"/>
      <c r="K1788" s="6"/>
    </row>
    <row r="1789" spans="10:11" x14ac:dyDescent="0.2">
      <c r="J1789" s="6"/>
      <c r="K1789" s="6"/>
    </row>
    <row r="1790" spans="10:11" x14ac:dyDescent="0.2">
      <c r="J1790" s="6"/>
      <c r="K1790" s="6"/>
    </row>
    <row r="1791" spans="10:11" x14ac:dyDescent="0.2">
      <c r="J1791" s="6"/>
      <c r="K1791" s="6"/>
    </row>
    <row r="1792" spans="10:11" x14ac:dyDescent="0.2">
      <c r="J1792" s="6"/>
      <c r="K1792" s="6"/>
    </row>
    <row r="1793" spans="10:11" x14ac:dyDescent="0.2">
      <c r="J1793" s="6"/>
      <c r="K1793" s="6"/>
    </row>
    <row r="1794" spans="10:11" x14ac:dyDescent="0.2">
      <c r="J1794" s="6"/>
      <c r="K1794" s="6"/>
    </row>
    <row r="1795" spans="10:11" x14ac:dyDescent="0.2">
      <c r="J1795" s="6"/>
      <c r="K1795" s="6"/>
    </row>
    <row r="1796" spans="10:11" x14ac:dyDescent="0.2">
      <c r="J1796" s="6"/>
      <c r="K1796" s="6"/>
    </row>
  </sheetData>
  <autoFilter ref="A1:K3790" xr:uid="{55EC5418-1443-CC46-BA16-517600AD2A4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46128-62EA-7346-8CD4-83C0D2906BDB}">
  <sheetPr codeName="Sheet2"/>
  <dimension ref="A1:P421"/>
  <sheetViews>
    <sheetView workbookViewId="0">
      <selection activeCell="E16" sqref="E16"/>
    </sheetView>
  </sheetViews>
  <sheetFormatPr baseColWidth="10" defaultRowHeight="16" x14ac:dyDescent="0.2"/>
  <cols>
    <col min="1" max="1" width="28.83203125" bestFit="1" customWidth="1"/>
    <col min="2" max="2" width="5.5" bestFit="1" customWidth="1"/>
    <col min="3" max="3" width="5.6640625" bestFit="1" customWidth="1"/>
    <col min="4" max="4" width="8.6640625" bestFit="1" customWidth="1"/>
    <col min="5" max="5" width="10.33203125" bestFit="1" customWidth="1"/>
    <col min="6" max="6" width="11.33203125" bestFit="1" customWidth="1"/>
    <col min="7" max="7" width="11.83203125" bestFit="1" customWidth="1"/>
    <col min="8" max="8" width="12.1640625" bestFit="1" customWidth="1"/>
    <col min="9" max="10" width="19.6640625" bestFit="1" customWidth="1"/>
    <col min="11" max="11" width="25" customWidth="1"/>
    <col min="12" max="12" width="15.33203125" bestFit="1" customWidth="1"/>
  </cols>
  <sheetData>
    <row r="1" spans="1:16" x14ac:dyDescent="0.2">
      <c r="A1" s="1" t="s">
        <v>121</v>
      </c>
      <c r="B1" s="1" t="s">
        <v>131</v>
      </c>
      <c r="C1" s="1" t="s">
        <v>0</v>
      </c>
      <c r="D1" s="1" t="s">
        <v>136</v>
      </c>
      <c r="E1" s="1" t="s">
        <v>137</v>
      </c>
      <c r="F1" s="1" t="s">
        <v>138</v>
      </c>
      <c r="G1" s="1" t="s">
        <v>134</v>
      </c>
      <c r="H1" s="1" t="s">
        <v>336</v>
      </c>
      <c r="I1" s="1" t="s">
        <v>163</v>
      </c>
      <c r="J1" s="1" t="s">
        <v>337</v>
      </c>
      <c r="K1" s="1" t="s">
        <v>135</v>
      </c>
      <c r="L1" s="1"/>
    </row>
    <row r="2" spans="1:16" x14ac:dyDescent="0.2">
      <c r="A2" t="s">
        <v>545</v>
      </c>
      <c r="B2">
        <v>1</v>
      </c>
      <c r="C2" t="s">
        <v>4</v>
      </c>
      <c r="D2">
        <v>1</v>
      </c>
      <c r="E2">
        <v>17.66</v>
      </c>
      <c r="F2">
        <v>17.66</v>
      </c>
      <c r="G2">
        <v>0</v>
      </c>
      <c r="H2">
        <v>1</v>
      </c>
      <c r="I2" t="s">
        <v>222</v>
      </c>
      <c r="J2" t="s">
        <v>222</v>
      </c>
      <c r="K2">
        <v>0</v>
      </c>
    </row>
    <row r="3" spans="1:16" ht="20" x14ac:dyDescent="0.2">
      <c r="A3" t="s">
        <v>545</v>
      </c>
      <c r="B3">
        <v>1</v>
      </c>
      <c r="C3" t="s">
        <v>5</v>
      </c>
      <c r="D3">
        <v>1</v>
      </c>
      <c r="E3">
        <v>23.6</v>
      </c>
      <c r="F3">
        <v>23.6</v>
      </c>
      <c r="G3">
        <v>0</v>
      </c>
      <c r="H3">
        <v>1</v>
      </c>
      <c r="I3" t="s">
        <v>93</v>
      </c>
      <c r="J3" t="s">
        <v>93</v>
      </c>
      <c r="K3">
        <v>0</v>
      </c>
      <c r="O3" s="3"/>
    </row>
    <row r="4" spans="1:16" ht="20" x14ac:dyDescent="0.25">
      <c r="A4" t="s">
        <v>545</v>
      </c>
      <c r="B4">
        <v>1</v>
      </c>
      <c r="C4" t="s">
        <v>5</v>
      </c>
      <c r="D4">
        <v>2</v>
      </c>
      <c r="E4">
        <v>19.399999999999999</v>
      </c>
      <c r="F4">
        <v>11.3</v>
      </c>
      <c r="G4">
        <v>8.1</v>
      </c>
      <c r="H4">
        <v>1</v>
      </c>
      <c r="I4" t="s">
        <v>32</v>
      </c>
      <c r="J4" t="s">
        <v>335</v>
      </c>
      <c r="K4">
        <v>0</v>
      </c>
      <c r="O4" s="4"/>
      <c r="P4" s="2"/>
    </row>
    <row r="5" spans="1:16" ht="19" x14ac:dyDescent="0.25">
      <c r="A5" t="s">
        <v>545</v>
      </c>
      <c r="B5">
        <v>1</v>
      </c>
      <c r="C5" t="s">
        <v>6</v>
      </c>
      <c r="D5">
        <v>1</v>
      </c>
      <c r="E5">
        <v>7.3</v>
      </c>
      <c r="F5">
        <v>7.3</v>
      </c>
      <c r="G5">
        <v>0</v>
      </c>
      <c r="H5">
        <v>1</v>
      </c>
      <c r="I5" t="s">
        <v>39</v>
      </c>
      <c r="J5" t="s">
        <v>39</v>
      </c>
      <c r="K5">
        <v>0</v>
      </c>
      <c r="P5" s="2"/>
    </row>
    <row r="6" spans="1:16" x14ac:dyDescent="0.2">
      <c r="A6" t="s">
        <v>545</v>
      </c>
      <c r="B6">
        <v>1</v>
      </c>
      <c r="C6" t="s">
        <v>6</v>
      </c>
      <c r="D6">
        <v>2</v>
      </c>
      <c r="E6">
        <v>7</v>
      </c>
      <c r="F6">
        <v>6.2</v>
      </c>
      <c r="G6">
        <v>0.8</v>
      </c>
      <c r="H6">
        <v>1</v>
      </c>
      <c r="I6" t="s">
        <v>217</v>
      </c>
      <c r="J6" t="s">
        <v>235</v>
      </c>
      <c r="K6">
        <v>0</v>
      </c>
    </row>
    <row r="7" spans="1:16" x14ac:dyDescent="0.2">
      <c r="A7" t="s">
        <v>545</v>
      </c>
      <c r="B7">
        <v>1</v>
      </c>
      <c r="C7" t="s">
        <v>9</v>
      </c>
      <c r="D7">
        <v>1</v>
      </c>
      <c r="E7">
        <v>5.5</v>
      </c>
      <c r="F7">
        <v>5.5</v>
      </c>
      <c r="G7">
        <v>0</v>
      </c>
      <c r="H7">
        <v>1</v>
      </c>
      <c r="I7" t="s">
        <v>40</v>
      </c>
      <c r="J7" t="s">
        <v>40</v>
      </c>
      <c r="K7">
        <v>0</v>
      </c>
    </row>
    <row r="8" spans="1:16" x14ac:dyDescent="0.2">
      <c r="A8" t="s">
        <v>545</v>
      </c>
      <c r="B8">
        <v>1</v>
      </c>
      <c r="C8" t="s">
        <v>11</v>
      </c>
      <c r="D8">
        <v>1</v>
      </c>
      <c r="E8">
        <v>11.3</v>
      </c>
      <c r="F8">
        <v>19.399999999999999</v>
      </c>
      <c r="G8">
        <v>-8.1</v>
      </c>
      <c r="H8">
        <v>1</v>
      </c>
      <c r="I8" t="s">
        <v>335</v>
      </c>
      <c r="J8" t="s">
        <v>32</v>
      </c>
      <c r="K8">
        <v>0</v>
      </c>
    </row>
    <row r="9" spans="1:16" x14ac:dyDescent="0.2">
      <c r="A9" t="s">
        <v>545</v>
      </c>
      <c r="B9">
        <v>1</v>
      </c>
      <c r="C9" t="s">
        <v>11</v>
      </c>
      <c r="D9">
        <v>2</v>
      </c>
      <c r="E9">
        <v>6.3</v>
      </c>
      <c r="F9">
        <v>6.3</v>
      </c>
      <c r="G9">
        <v>0</v>
      </c>
      <c r="H9">
        <v>1</v>
      </c>
      <c r="I9" t="s">
        <v>149</v>
      </c>
      <c r="J9" t="s">
        <v>149</v>
      </c>
      <c r="K9">
        <v>0</v>
      </c>
    </row>
    <row r="10" spans="1:16" x14ac:dyDescent="0.2">
      <c r="A10" t="s">
        <v>545</v>
      </c>
      <c r="B10">
        <v>1</v>
      </c>
      <c r="C10" t="s">
        <v>12</v>
      </c>
      <c r="D10">
        <v>1</v>
      </c>
      <c r="E10">
        <v>19</v>
      </c>
      <c r="F10">
        <v>19</v>
      </c>
      <c r="G10">
        <v>0</v>
      </c>
      <c r="H10">
        <v>1</v>
      </c>
      <c r="I10" t="s">
        <v>127</v>
      </c>
      <c r="J10" t="s">
        <v>127</v>
      </c>
      <c r="K10">
        <v>0</v>
      </c>
    </row>
    <row r="11" spans="1:16" x14ac:dyDescent="0.2">
      <c r="A11" t="s">
        <v>545</v>
      </c>
      <c r="B11">
        <v>1</v>
      </c>
      <c r="C11" t="s">
        <v>13</v>
      </c>
      <c r="D11">
        <v>1</v>
      </c>
      <c r="E11">
        <v>12</v>
      </c>
      <c r="F11">
        <v>12</v>
      </c>
      <c r="G11">
        <v>0</v>
      </c>
      <c r="H11">
        <v>1</v>
      </c>
      <c r="I11" t="s">
        <v>280</v>
      </c>
      <c r="J11" t="s">
        <v>280</v>
      </c>
      <c r="K11">
        <v>0</v>
      </c>
    </row>
    <row r="12" spans="1:16" x14ac:dyDescent="0.2">
      <c r="A12" t="s">
        <v>545</v>
      </c>
      <c r="B12">
        <v>2</v>
      </c>
      <c r="C12" t="s">
        <v>4</v>
      </c>
      <c r="D12">
        <v>1</v>
      </c>
      <c r="E12">
        <v>17.02</v>
      </c>
      <c r="F12">
        <v>14.74</v>
      </c>
      <c r="G12">
        <v>2.2799999999999998</v>
      </c>
      <c r="H12">
        <v>1</v>
      </c>
      <c r="I12" t="s">
        <v>222</v>
      </c>
      <c r="J12" t="s">
        <v>202</v>
      </c>
      <c r="K12">
        <v>0</v>
      </c>
    </row>
    <row r="13" spans="1:16" x14ac:dyDescent="0.2">
      <c r="A13" t="s">
        <v>545</v>
      </c>
      <c r="B13">
        <v>2</v>
      </c>
      <c r="C13" t="s">
        <v>5</v>
      </c>
      <c r="D13">
        <v>1</v>
      </c>
      <c r="E13">
        <v>27.2</v>
      </c>
      <c r="F13">
        <v>27.2</v>
      </c>
      <c r="G13">
        <v>0</v>
      </c>
      <c r="H13">
        <v>1</v>
      </c>
      <c r="I13" t="s">
        <v>93</v>
      </c>
      <c r="J13" t="s">
        <v>93</v>
      </c>
      <c r="K13">
        <v>0</v>
      </c>
    </row>
    <row r="14" spans="1:16" x14ac:dyDescent="0.2">
      <c r="A14" t="s">
        <v>545</v>
      </c>
      <c r="B14">
        <v>2</v>
      </c>
      <c r="C14" t="s">
        <v>5</v>
      </c>
      <c r="D14">
        <v>2</v>
      </c>
      <c r="E14">
        <v>8</v>
      </c>
      <c r="F14">
        <v>6.1</v>
      </c>
      <c r="G14">
        <v>1.9</v>
      </c>
      <c r="H14">
        <v>1</v>
      </c>
      <c r="I14" t="s">
        <v>32</v>
      </c>
      <c r="J14" t="s">
        <v>205</v>
      </c>
      <c r="K14">
        <v>0</v>
      </c>
    </row>
    <row r="15" spans="1:16" x14ac:dyDescent="0.2">
      <c r="A15" t="s">
        <v>545</v>
      </c>
      <c r="B15">
        <v>2</v>
      </c>
      <c r="C15" t="s">
        <v>6</v>
      </c>
      <c r="D15">
        <v>1</v>
      </c>
      <c r="E15">
        <v>5.8</v>
      </c>
      <c r="F15">
        <v>5.8</v>
      </c>
      <c r="G15">
        <v>0</v>
      </c>
      <c r="H15">
        <v>1</v>
      </c>
      <c r="I15" t="s">
        <v>217</v>
      </c>
      <c r="J15" t="s">
        <v>217</v>
      </c>
      <c r="K15">
        <v>0</v>
      </c>
    </row>
    <row r="16" spans="1:16" x14ac:dyDescent="0.2">
      <c r="A16" t="s">
        <v>545</v>
      </c>
      <c r="B16">
        <v>2</v>
      </c>
      <c r="C16" t="s">
        <v>6</v>
      </c>
      <c r="D16">
        <v>2</v>
      </c>
      <c r="E16">
        <v>5.3</v>
      </c>
      <c r="F16">
        <v>1.4</v>
      </c>
      <c r="G16">
        <v>3.9</v>
      </c>
      <c r="H16">
        <v>1</v>
      </c>
      <c r="I16" t="s">
        <v>149</v>
      </c>
      <c r="J16" t="s">
        <v>235</v>
      </c>
      <c r="K16">
        <v>0</v>
      </c>
    </row>
    <row r="17" spans="1:11" x14ac:dyDescent="0.2">
      <c r="A17" t="s">
        <v>545</v>
      </c>
      <c r="B17">
        <v>2</v>
      </c>
      <c r="C17" t="s">
        <v>9</v>
      </c>
      <c r="D17">
        <v>1</v>
      </c>
      <c r="E17">
        <v>20</v>
      </c>
      <c r="F17">
        <v>20</v>
      </c>
      <c r="G17">
        <v>0</v>
      </c>
      <c r="H17">
        <v>1</v>
      </c>
      <c r="I17" t="s">
        <v>40</v>
      </c>
      <c r="J17" t="s">
        <v>40</v>
      </c>
      <c r="K17">
        <v>0</v>
      </c>
    </row>
    <row r="18" spans="1:11" x14ac:dyDescent="0.2">
      <c r="A18" t="s">
        <v>545</v>
      </c>
      <c r="B18">
        <v>2</v>
      </c>
      <c r="C18" t="s">
        <v>11</v>
      </c>
      <c r="D18">
        <v>1</v>
      </c>
      <c r="E18">
        <v>6.8</v>
      </c>
      <c r="F18">
        <v>8</v>
      </c>
      <c r="G18">
        <v>-1.2</v>
      </c>
      <c r="H18">
        <v>1</v>
      </c>
      <c r="I18" t="s">
        <v>205</v>
      </c>
      <c r="J18" t="s">
        <v>335</v>
      </c>
      <c r="K18">
        <v>0</v>
      </c>
    </row>
    <row r="19" spans="1:11" x14ac:dyDescent="0.2">
      <c r="A19" t="s">
        <v>545</v>
      </c>
      <c r="B19">
        <v>2</v>
      </c>
      <c r="C19" t="s">
        <v>11</v>
      </c>
      <c r="D19">
        <v>2</v>
      </c>
      <c r="E19">
        <v>6.1</v>
      </c>
      <c r="F19">
        <v>6.8</v>
      </c>
      <c r="G19">
        <v>-0.7</v>
      </c>
      <c r="H19">
        <v>1</v>
      </c>
      <c r="I19" t="s">
        <v>335</v>
      </c>
      <c r="J19" t="s">
        <v>32</v>
      </c>
      <c r="K19">
        <v>0</v>
      </c>
    </row>
    <row r="20" spans="1:11" x14ac:dyDescent="0.2">
      <c r="A20" t="s">
        <v>545</v>
      </c>
      <c r="B20">
        <v>2</v>
      </c>
      <c r="C20" t="s">
        <v>12</v>
      </c>
      <c r="D20">
        <v>1</v>
      </c>
      <c r="E20">
        <v>8</v>
      </c>
      <c r="F20">
        <v>8</v>
      </c>
      <c r="G20">
        <v>0</v>
      </c>
      <c r="H20">
        <v>1</v>
      </c>
      <c r="I20" t="s">
        <v>127</v>
      </c>
      <c r="J20" t="s">
        <v>127</v>
      </c>
      <c r="K20">
        <v>0</v>
      </c>
    </row>
    <row r="21" spans="1:11" x14ac:dyDescent="0.2">
      <c r="A21" t="s">
        <v>545</v>
      </c>
      <c r="B21">
        <v>2</v>
      </c>
      <c r="C21" t="s">
        <v>13</v>
      </c>
      <c r="D21">
        <v>1</v>
      </c>
      <c r="E21">
        <v>4</v>
      </c>
      <c r="F21">
        <v>4</v>
      </c>
      <c r="G21">
        <v>0</v>
      </c>
      <c r="H21">
        <v>1</v>
      </c>
      <c r="I21" t="s">
        <v>280</v>
      </c>
      <c r="J21" t="s">
        <v>280</v>
      </c>
      <c r="K21">
        <v>0</v>
      </c>
    </row>
    <row r="22" spans="1:11" x14ac:dyDescent="0.2">
      <c r="A22" t="s">
        <v>545</v>
      </c>
      <c r="B22">
        <v>3</v>
      </c>
      <c r="C22" t="s">
        <v>4</v>
      </c>
      <c r="D22">
        <v>1</v>
      </c>
      <c r="E22">
        <v>11.68</v>
      </c>
      <c r="F22">
        <v>11.68</v>
      </c>
      <c r="G22">
        <v>0</v>
      </c>
      <c r="H22">
        <v>1</v>
      </c>
      <c r="I22" t="s">
        <v>202</v>
      </c>
      <c r="J22" t="s">
        <v>202</v>
      </c>
      <c r="K22">
        <v>0</v>
      </c>
    </row>
    <row r="23" spans="1:11" x14ac:dyDescent="0.2">
      <c r="A23" t="s">
        <v>545</v>
      </c>
      <c r="B23">
        <v>3</v>
      </c>
      <c r="C23" t="s">
        <v>5</v>
      </c>
      <c r="D23">
        <v>1</v>
      </c>
      <c r="E23">
        <v>8.1999999999999993</v>
      </c>
      <c r="F23">
        <v>8.1999999999999993</v>
      </c>
      <c r="G23">
        <v>0</v>
      </c>
      <c r="H23">
        <v>1</v>
      </c>
      <c r="I23" t="s">
        <v>93</v>
      </c>
      <c r="J23" t="s">
        <v>93</v>
      </c>
      <c r="K23">
        <v>0</v>
      </c>
    </row>
    <row r="24" spans="1:11" x14ac:dyDescent="0.2">
      <c r="A24" t="s">
        <v>545</v>
      </c>
      <c r="B24">
        <v>3</v>
      </c>
      <c r="C24" t="s">
        <v>5</v>
      </c>
      <c r="D24">
        <v>2</v>
      </c>
      <c r="E24">
        <v>8</v>
      </c>
      <c r="F24">
        <v>8</v>
      </c>
      <c r="G24">
        <v>0</v>
      </c>
      <c r="H24">
        <v>1</v>
      </c>
      <c r="I24" t="s">
        <v>32</v>
      </c>
      <c r="J24" t="s">
        <v>32</v>
      </c>
      <c r="K24">
        <v>0</v>
      </c>
    </row>
    <row r="25" spans="1:11" x14ac:dyDescent="0.2">
      <c r="A25" t="s">
        <v>545</v>
      </c>
      <c r="B25">
        <v>3</v>
      </c>
      <c r="C25" t="s">
        <v>6</v>
      </c>
      <c r="D25">
        <v>1</v>
      </c>
      <c r="E25">
        <v>15.2</v>
      </c>
      <c r="F25">
        <v>15.2</v>
      </c>
      <c r="G25">
        <v>0</v>
      </c>
      <c r="H25">
        <v>1</v>
      </c>
      <c r="I25" t="s">
        <v>149</v>
      </c>
      <c r="J25" t="s">
        <v>149</v>
      </c>
      <c r="K25">
        <v>0</v>
      </c>
    </row>
    <row r="26" spans="1:11" x14ac:dyDescent="0.2">
      <c r="A26" t="s">
        <v>545</v>
      </c>
      <c r="B26">
        <v>3</v>
      </c>
      <c r="C26" t="s">
        <v>6</v>
      </c>
      <c r="D26">
        <v>2</v>
      </c>
      <c r="E26">
        <v>5.9</v>
      </c>
      <c r="F26">
        <v>5.9</v>
      </c>
      <c r="G26">
        <v>0</v>
      </c>
      <c r="H26">
        <v>1</v>
      </c>
      <c r="I26" t="s">
        <v>217</v>
      </c>
      <c r="J26" t="s">
        <v>217</v>
      </c>
      <c r="K26">
        <v>0</v>
      </c>
    </row>
    <row r="27" spans="1:11" x14ac:dyDescent="0.2">
      <c r="A27" t="s">
        <v>545</v>
      </c>
      <c r="B27">
        <v>3</v>
      </c>
      <c r="C27" t="s">
        <v>9</v>
      </c>
      <c r="D27">
        <v>1</v>
      </c>
      <c r="E27">
        <v>22.6</v>
      </c>
      <c r="F27">
        <v>4.5</v>
      </c>
      <c r="G27">
        <v>18.100000000000001</v>
      </c>
      <c r="H27">
        <v>1</v>
      </c>
      <c r="I27" t="s">
        <v>40</v>
      </c>
      <c r="J27" t="s">
        <v>218</v>
      </c>
      <c r="K27">
        <v>0</v>
      </c>
    </row>
    <row r="28" spans="1:11" x14ac:dyDescent="0.2">
      <c r="A28" t="s">
        <v>545</v>
      </c>
      <c r="B28">
        <v>3</v>
      </c>
      <c r="C28" t="s">
        <v>11</v>
      </c>
      <c r="D28">
        <v>1</v>
      </c>
      <c r="E28">
        <v>4.5</v>
      </c>
      <c r="F28">
        <v>22.6</v>
      </c>
      <c r="G28">
        <v>-18.100000000000001</v>
      </c>
      <c r="H28">
        <v>1</v>
      </c>
      <c r="I28" t="s">
        <v>218</v>
      </c>
      <c r="J28" t="s">
        <v>40</v>
      </c>
      <c r="K28">
        <v>0</v>
      </c>
    </row>
    <row r="29" spans="1:11" x14ac:dyDescent="0.2">
      <c r="A29" t="s">
        <v>545</v>
      </c>
      <c r="B29">
        <v>3</v>
      </c>
      <c r="C29" t="s">
        <v>11</v>
      </c>
      <c r="D29">
        <v>2</v>
      </c>
      <c r="E29">
        <v>3.1</v>
      </c>
      <c r="F29">
        <v>3.1</v>
      </c>
      <c r="G29">
        <v>0</v>
      </c>
      <c r="H29">
        <v>1</v>
      </c>
      <c r="I29" t="s">
        <v>335</v>
      </c>
      <c r="J29" t="s">
        <v>335</v>
      </c>
      <c r="K29">
        <v>0</v>
      </c>
    </row>
    <row r="30" spans="1:11" x14ac:dyDescent="0.2">
      <c r="A30" t="s">
        <v>545</v>
      </c>
      <c r="B30">
        <v>3</v>
      </c>
      <c r="C30" t="s">
        <v>12</v>
      </c>
      <c r="D30">
        <v>1</v>
      </c>
      <c r="E30">
        <v>4</v>
      </c>
      <c r="F30">
        <v>4</v>
      </c>
      <c r="G30">
        <v>0</v>
      </c>
      <c r="H30">
        <v>1</v>
      </c>
      <c r="I30" t="s">
        <v>127</v>
      </c>
      <c r="J30" t="s">
        <v>127</v>
      </c>
      <c r="K30">
        <v>0</v>
      </c>
    </row>
    <row r="31" spans="1:11" x14ac:dyDescent="0.2">
      <c r="A31" t="s">
        <v>545</v>
      </c>
      <c r="B31">
        <v>3</v>
      </c>
      <c r="C31" t="s">
        <v>13</v>
      </c>
      <c r="D31">
        <v>1</v>
      </c>
      <c r="E31">
        <v>10</v>
      </c>
      <c r="F31">
        <v>10</v>
      </c>
      <c r="G31">
        <v>0</v>
      </c>
      <c r="H31">
        <v>1</v>
      </c>
      <c r="I31" t="s">
        <v>280</v>
      </c>
      <c r="J31" t="s">
        <v>280</v>
      </c>
      <c r="K31">
        <v>0</v>
      </c>
    </row>
    <row r="32" spans="1:11" x14ac:dyDescent="0.2">
      <c r="A32" t="s">
        <v>463</v>
      </c>
      <c r="B32">
        <v>1</v>
      </c>
      <c r="C32" t="s">
        <v>4</v>
      </c>
      <c r="D32">
        <v>1</v>
      </c>
      <c r="E32">
        <v>21.1</v>
      </c>
      <c r="F32">
        <v>21.1</v>
      </c>
      <c r="G32">
        <v>0</v>
      </c>
      <c r="H32">
        <v>1</v>
      </c>
      <c r="I32" t="s">
        <v>192</v>
      </c>
      <c r="J32" t="s">
        <v>192</v>
      </c>
      <c r="K32">
        <v>0</v>
      </c>
    </row>
    <row r="33" spans="1:11" x14ac:dyDescent="0.2">
      <c r="A33" t="s">
        <v>463</v>
      </c>
      <c r="B33">
        <v>1</v>
      </c>
      <c r="C33" t="s">
        <v>5</v>
      </c>
      <c r="D33">
        <v>1</v>
      </c>
      <c r="E33">
        <v>18.8</v>
      </c>
      <c r="F33">
        <v>18.8</v>
      </c>
      <c r="G33">
        <v>0</v>
      </c>
      <c r="H33">
        <v>1</v>
      </c>
      <c r="I33" t="s">
        <v>17</v>
      </c>
      <c r="J33" t="s">
        <v>17</v>
      </c>
      <c r="K33">
        <v>0</v>
      </c>
    </row>
    <row r="34" spans="1:11" x14ac:dyDescent="0.2">
      <c r="A34" t="s">
        <v>463</v>
      </c>
      <c r="B34">
        <v>1</v>
      </c>
      <c r="C34" t="s">
        <v>5</v>
      </c>
      <c r="D34">
        <v>2</v>
      </c>
      <c r="E34">
        <v>5.4</v>
      </c>
      <c r="F34">
        <v>3.1</v>
      </c>
      <c r="G34">
        <v>2.2999999999999998</v>
      </c>
      <c r="H34">
        <v>1</v>
      </c>
      <c r="I34" t="s">
        <v>229</v>
      </c>
      <c r="J34" t="s">
        <v>200</v>
      </c>
      <c r="K34">
        <v>0</v>
      </c>
    </row>
    <row r="35" spans="1:11" x14ac:dyDescent="0.2">
      <c r="A35" t="s">
        <v>463</v>
      </c>
      <c r="B35">
        <v>1</v>
      </c>
      <c r="C35" t="s">
        <v>6</v>
      </c>
      <c r="D35">
        <v>1</v>
      </c>
      <c r="E35">
        <v>11.9</v>
      </c>
      <c r="F35">
        <v>4.3</v>
      </c>
      <c r="G35">
        <v>7.6</v>
      </c>
      <c r="H35">
        <v>1</v>
      </c>
      <c r="I35" t="s">
        <v>157</v>
      </c>
      <c r="J35" t="s">
        <v>467</v>
      </c>
      <c r="K35">
        <v>0</v>
      </c>
    </row>
    <row r="36" spans="1:11" x14ac:dyDescent="0.2">
      <c r="A36" t="s">
        <v>463</v>
      </c>
      <c r="B36">
        <v>1</v>
      </c>
      <c r="C36" t="s">
        <v>6</v>
      </c>
      <c r="D36">
        <v>2</v>
      </c>
      <c r="E36">
        <v>4.3</v>
      </c>
      <c r="F36">
        <v>2.2000000000000002</v>
      </c>
      <c r="G36">
        <v>2.1</v>
      </c>
      <c r="H36">
        <v>1</v>
      </c>
      <c r="I36" t="s">
        <v>113</v>
      </c>
      <c r="J36" t="s">
        <v>157</v>
      </c>
      <c r="K36">
        <v>0</v>
      </c>
    </row>
    <row r="37" spans="1:11" x14ac:dyDescent="0.2">
      <c r="A37" t="s">
        <v>463</v>
      </c>
      <c r="B37">
        <v>1</v>
      </c>
      <c r="C37" t="s">
        <v>9</v>
      </c>
      <c r="D37">
        <v>1</v>
      </c>
      <c r="E37">
        <v>6.2</v>
      </c>
      <c r="F37">
        <v>6.2</v>
      </c>
      <c r="G37">
        <v>0</v>
      </c>
      <c r="H37">
        <v>0</v>
      </c>
      <c r="I37" t="s">
        <v>303</v>
      </c>
      <c r="J37" t="s">
        <v>303</v>
      </c>
      <c r="K37">
        <v>6.2</v>
      </c>
    </row>
    <row r="38" spans="1:11" x14ac:dyDescent="0.2">
      <c r="A38" t="s">
        <v>463</v>
      </c>
      <c r="B38">
        <v>1</v>
      </c>
      <c r="C38" t="s">
        <v>11</v>
      </c>
      <c r="D38">
        <v>1</v>
      </c>
      <c r="E38">
        <v>3.5</v>
      </c>
      <c r="F38">
        <v>5.4</v>
      </c>
      <c r="G38">
        <v>-1.9</v>
      </c>
      <c r="H38">
        <v>1</v>
      </c>
      <c r="I38" t="s">
        <v>200</v>
      </c>
      <c r="J38" t="s">
        <v>224</v>
      </c>
      <c r="K38">
        <v>0</v>
      </c>
    </row>
    <row r="39" spans="1:11" x14ac:dyDescent="0.2">
      <c r="A39" t="s">
        <v>463</v>
      </c>
      <c r="B39">
        <v>1</v>
      </c>
      <c r="C39" t="s">
        <v>11</v>
      </c>
      <c r="D39">
        <v>2</v>
      </c>
      <c r="E39">
        <v>3.1</v>
      </c>
      <c r="F39">
        <v>0.7</v>
      </c>
      <c r="G39">
        <v>2.4</v>
      </c>
      <c r="H39">
        <v>1</v>
      </c>
      <c r="I39" t="s">
        <v>68</v>
      </c>
      <c r="J39" t="s">
        <v>229</v>
      </c>
      <c r="K39">
        <v>0</v>
      </c>
    </row>
    <row r="40" spans="1:11" x14ac:dyDescent="0.2">
      <c r="A40" t="s">
        <v>463</v>
      </c>
      <c r="B40">
        <v>1</v>
      </c>
      <c r="C40" t="s">
        <v>12</v>
      </c>
      <c r="D40">
        <v>1</v>
      </c>
      <c r="E40">
        <v>14</v>
      </c>
      <c r="F40">
        <v>14</v>
      </c>
      <c r="G40">
        <v>0</v>
      </c>
      <c r="H40">
        <v>0</v>
      </c>
      <c r="I40" t="s">
        <v>143</v>
      </c>
      <c r="J40" t="s">
        <v>143</v>
      </c>
      <c r="K40">
        <v>14</v>
      </c>
    </row>
    <row r="41" spans="1:11" x14ac:dyDescent="0.2">
      <c r="A41" t="s">
        <v>463</v>
      </c>
      <c r="B41">
        <v>1</v>
      </c>
      <c r="C41" t="s">
        <v>13</v>
      </c>
      <c r="D41">
        <v>1</v>
      </c>
      <c r="E41">
        <v>7</v>
      </c>
      <c r="F41">
        <v>7</v>
      </c>
      <c r="G41">
        <v>0</v>
      </c>
      <c r="H41">
        <v>1</v>
      </c>
      <c r="I41" t="s">
        <v>14</v>
      </c>
      <c r="J41" t="s">
        <v>14</v>
      </c>
      <c r="K41">
        <v>0</v>
      </c>
    </row>
    <row r="42" spans="1:11" x14ac:dyDescent="0.2">
      <c r="A42" t="s">
        <v>463</v>
      </c>
      <c r="B42">
        <v>2</v>
      </c>
      <c r="C42" t="s">
        <v>4</v>
      </c>
      <c r="D42">
        <v>1</v>
      </c>
      <c r="E42">
        <v>28.48</v>
      </c>
      <c r="F42">
        <v>28.48</v>
      </c>
      <c r="G42">
        <v>0</v>
      </c>
      <c r="H42">
        <v>1</v>
      </c>
      <c r="I42" t="s">
        <v>192</v>
      </c>
      <c r="J42" t="s">
        <v>192</v>
      </c>
      <c r="K42">
        <v>0</v>
      </c>
    </row>
    <row r="43" spans="1:11" x14ac:dyDescent="0.2">
      <c r="A43" t="s">
        <v>463</v>
      </c>
      <c r="B43">
        <v>2</v>
      </c>
      <c r="C43" t="s">
        <v>5</v>
      </c>
      <c r="D43">
        <v>1</v>
      </c>
      <c r="E43">
        <v>13.6</v>
      </c>
      <c r="F43">
        <v>11.7</v>
      </c>
      <c r="G43">
        <v>1.9</v>
      </c>
      <c r="H43">
        <v>1</v>
      </c>
      <c r="I43" t="s">
        <v>17</v>
      </c>
      <c r="J43" t="s">
        <v>311</v>
      </c>
      <c r="K43">
        <v>0</v>
      </c>
    </row>
    <row r="44" spans="1:11" x14ac:dyDescent="0.2">
      <c r="A44" t="s">
        <v>463</v>
      </c>
      <c r="B44">
        <v>2</v>
      </c>
      <c r="C44" t="s">
        <v>5</v>
      </c>
      <c r="D44">
        <v>2</v>
      </c>
      <c r="E44">
        <v>11.7</v>
      </c>
      <c r="F44">
        <v>5.4</v>
      </c>
      <c r="G44">
        <v>6.3</v>
      </c>
      <c r="H44">
        <v>1</v>
      </c>
      <c r="I44" t="s">
        <v>229</v>
      </c>
      <c r="J44" t="s">
        <v>17</v>
      </c>
      <c r="K44">
        <v>0</v>
      </c>
    </row>
    <row r="45" spans="1:11" x14ac:dyDescent="0.2">
      <c r="A45" t="s">
        <v>463</v>
      </c>
      <c r="B45">
        <v>2</v>
      </c>
      <c r="C45" t="s">
        <v>6</v>
      </c>
      <c r="D45">
        <v>1</v>
      </c>
      <c r="E45">
        <v>23</v>
      </c>
      <c r="F45">
        <v>23</v>
      </c>
      <c r="G45">
        <v>0</v>
      </c>
      <c r="H45">
        <v>1</v>
      </c>
      <c r="I45" t="s">
        <v>113</v>
      </c>
      <c r="J45" t="s">
        <v>113</v>
      </c>
      <c r="K45">
        <v>0</v>
      </c>
    </row>
    <row r="46" spans="1:11" x14ac:dyDescent="0.2">
      <c r="A46" t="s">
        <v>463</v>
      </c>
      <c r="B46">
        <v>2</v>
      </c>
      <c r="C46" t="s">
        <v>6</v>
      </c>
      <c r="D46">
        <v>2</v>
      </c>
      <c r="E46">
        <v>17.8</v>
      </c>
      <c r="F46">
        <v>7</v>
      </c>
      <c r="G46">
        <v>10.8</v>
      </c>
      <c r="H46">
        <v>1</v>
      </c>
      <c r="I46" t="s">
        <v>157</v>
      </c>
      <c r="J46" t="s">
        <v>68</v>
      </c>
      <c r="K46">
        <v>0</v>
      </c>
    </row>
    <row r="47" spans="1:11" x14ac:dyDescent="0.2">
      <c r="A47" t="s">
        <v>463</v>
      </c>
      <c r="B47">
        <v>2</v>
      </c>
      <c r="C47" t="s">
        <v>9</v>
      </c>
      <c r="D47">
        <v>1</v>
      </c>
      <c r="E47">
        <v>3.8</v>
      </c>
      <c r="F47">
        <v>3.8</v>
      </c>
      <c r="G47">
        <v>0</v>
      </c>
      <c r="H47">
        <v>0</v>
      </c>
      <c r="I47" t="s">
        <v>303</v>
      </c>
      <c r="J47" t="s">
        <v>303</v>
      </c>
      <c r="K47">
        <v>3.8</v>
      </c>
    </row>
    <row r="48" spans="1:11" x14ac:dyDescent="0.2">
      <c r="A48" t="s">
        <v>463</v>
      </c>
      <c r="B48">
        <v>2</v>
      </c>
      <c r="C48" t="s">
        <v>11</v>
      </c>
      <c r="D48">
        <v>1</v>
      </c>
      <c r="E48">
        <v>11.1</v>
      </c>
      <c r="F48">
        <v>17.8</v>
      </c>
      <c r="G48">
        <v>-6.7</v>
      </c>
      <c r="H48">
        <v>1</v>
      </c>
      <c r="I48" t="s">
        <v>68</v>
      </c>
      <c r="J48" t="s">
        <v>161</v>
      </c>
      <c r="K48">
        <v>0</v>
      </c>
    </row>
    <row r="49" spans="1:11" x14ac:dyDescent="0.2">
      <c r="A49" t="s">
        <v>463</v>
      </c>
      <c r="B49">
        <v>2</v>
      </c>
      <c r="C49" t="s">
        <v>11</v>
      </c>
      <c r="D49">
        <v>2</v>
      </c>
      <c r="E49">
        <v>9.9</v>
      </c>
      <c r="F49">
        <v>9.6999999999999993</v>
      </c>
      <c r="G49">
        <v>0.20000000000000101</v>
      </c>
      <c r="H49">
        <v>1</v>
      </c>
      <c r="I49" t="s">
        <v>200</v>
      </c>
      <c r="J49" t="s">
        <v>248</v>
      </c>
      <c r="K49">
        <v>0</v>
      </c>
    </row>
    <row r="50" spans="1:11" x14ac:dyDescent="0.2">
      <c r="A50" t="s">
        <v>463</v>
      </c>
      <c r="B50">
        <v>2</v>
      </c>
      <c r="C50" t="s">
        <v>12</v>
      </c>
      <c r="D50">
        <v>1</v>
      </c>
      <c r="E50">
        <v>9</v>
      </c>
      <c r="F50">
        <v>9</v>
      </c>
      <c r="G50">
        <v>0</v>
      </c>
      <c r="H50">
        <v>0</v>
      </c>
      <c r="I50" t="s">
        <v>96</v>
      </c>
      <c r="J50" t="s">
        <v>96</v>
      </c>
      <c r="K50">
        <v>9</v>
      </c>
    </row>
    <row r="51" spans="1:11" x14ac:dyDescent="0.2">
      <c r="A51" t="s">
        <v>463</v>
      </c>
      <c r="B51">
        <v>2</v>
      </c>
      <c r="C51" t="s">
        <v>13</v>
      </c>
      <c r="D51">
        <v>1</v>
      </c>
      <c r="E51">
        <v>5</v>
      </c>
      <c r="F51">
        <v>5</v>
      </c>
      <c r="G51">
        <v>0</v>
      </c>
      <c r="H51">
        <v>0</v>
      </c>
      <c r="I51" t="s">
        <v>90</v>
      </c>
      <c r="J51" t="s">
        <v>90</v>
      </c>
      <c r="K51">
        <v>5</v>
      </c>
    </row>
    <row r="52" spans="1:11" x14ac:dyDescent="0.2">
      <c r="A52" t="s">
        <v>463</v>
      </c>
      <c r="B52">
        <v>3</v>
      </c>
      <c r="C52" t="s">
        <v>4</v>
      </c>
      <c r="D52">
        <v>1</v>
      </c>
      <c r="E52">
        <v>31.28</v>
      </c>
      <c r="F52">
        <v>31.28</v>
      </c>
      <c r="G52">
        <v>0</v>
      </c>
      <c r="H52">
        <v>1</v>
      </c>
      <c r="I52" t="s">
        <v>192</v>
      </c>
      <c r="J52" t="s">
        <v>192</v>
      </c>
      <c r="K52">
        <v>0</v>
      </c>
    </row>
    <row r="53" spans="1:11" x14ac:dyDescent="0.2">
      <c r="A53" t="s">
        <v>463</v>
      </c>
      <c r="B53">
        <v>3</v>
      </c>
      <c r="C53" t="s">
        <v>5</v>
      </c>
      <c r="D53">
        <v>1</v>
      </c>
      <c r="E53">
        <v>7</v>
      </c>
      <c r="F53">
        <v>7</v>
      </c>
      <c r="G53">
        <v>0</v>
      </c>
      <c r="H53">
        <v>1</v>
      </c>
      <c r="I53" t="s">
        <v>17</v>
      </c>
      <c r="J53" t="s">
        <v>17</v>
      </c>
      <c r="K53">
        <v>0</v>
      </c>
    </row>
    <row r="54" spans="1:11" x14ac:dyDescent="0.2">
      <c r="A54" t="s">
        <v>463</v>
      </c>
      <c r="B54">
        <v>3</v>
      </c>
      <c r="C54" t="s">
        <v>5</v>
      </c>
      <c r="D54">
        <v>2</v>
      </c>
      <c r="E54">
        <v>3.4</v>
      </c>
      <c r="F54">
        <v>3.4</v>
      </c>
      <c r="G54">
        <v>0</v>
      </c>
      <c r="H54">
        <v>1</v>
      </c>
      <c r="I54" t="s">
        <v>311</v>
      </c>
      <c r="J54" t="s">
        <v>311</v>
      </c>
      <c r="K54">
        <v>0</v>
      </c>
    </row>
    <row r="55" spans="1:11" x14ac:dyDescent="0.2">
      <c r="A55" t="s">
        <v>463</v>
      </c>
      <c r="B55">
        <v>3</v>
      </c>
      <c r="C55" t="s">
        <v>6</v>
      </c>
      <c r="D55">
        <v>1</v>
      </c>
      <c r="E55">
        <v>20.3</v>
      </c>
      <c r="F55">
        <v>20.3</v>
      </c>
      <c r="G55">
        <v>0</v>
      </c>
      <c r="H55">
        <v>1</v>
      </c>
      <c r="I55" t="s">
        <v>113</v>
      </c>
      <c r="J55" t="s">
        <v>113</v>
      </c>
      <c r="K55">
        <v>0</v>
      </c>
    </row>
    <row r="56" spans="1:11" x14ac:dyDescent="0.2">
      <c r="A56" t="s">
        <v>463</v>
      </c>
      <c r="B56">
        <v>3</v>
      </c>
      <c r="C56" t="s">
        <v>6</v>
      </c>
      <c r="D56">
        <v>2</v>
      </c>
      <c r="E56">
        <v>11.7</v>
      </c>
      <c r="F56">
        <v>11.7</v>
      </c>
      <c r="G56">
        <v>0</v>
      </c>
      <c r="H56">
        <v>1</v>
      </c>
      <c r="I56" t="s">
        <v>157</v>
      </c>
      <c r="J56" t="s">
        <v>157</v>
      </c>
      <c r="K56">
        <v>0</v>
      </c>
    </row>
    <row r="57" spans="1:11" x14ac:dyDescent="0.2">
      <c r="A57" t="s">
        <v>463</v>
      </c>
      <c r="B57">
        <v>3</v>
      </c>
      <c r="C57" t="s">
        <v>9</v>
      </c>
      <c r="D57">
        <v>1</v>
      </c>
      <c r="E57">
        <v>20</v>
      </c>
      <c r="F57">
        <v>0</v>
      </c>
      <c r="G57">
        <v>20</v>
      </c>
      <c r="H57">
        <v>0</v>
      </c>
      <c r="I57" t="s">
        <v>459</v>
      </c>
      <c r="J57" t="s">
        <v>537</v>
      </c>
      <c r="K57">
        <v>0</v>
      </c>
    </row>
    <row r="58" spans="1:11" x14ac:dyDescent="0.2">
      <c r="A58" t="s">
        <v>463</v>
      </c>
      <c r="B58">
        <v>3</v>
      </c>
      <c r="C58" t="s">
        <v>11</v>
      </c>
      <c r="D58">
        <v>1</v>
      </c>
      <c r="E58">
        <v>6.4</v>
      </c>
      <c r="F58">
        <v>6.4</v>
      </c>
      <c r="G58">
        <v>0</v>
      </c>
      <c r="H58">
        <v>1</v>
      </c>
      <c r="I58" t="s">
        <v>161</v>
      </c>
      <c r="J58" t="s">
        <v>161</v>
      </c>
      <c r="K58">
        <v>0</v>
      </c>
    </row>
    <row r="59" spans="1:11" x14ac:dyDescent="0.2">
      <c r="A59" t="s">
        <v>463</v>
      </c>
      <c r="B59">
        <v>3</v>
      </c>
      <c r="C59" t="s">
        <v>11</v>
      </c>
      <c r="D59">
        <v>2</v>
      </c>
      <c r="E59">
        <v>5.4</v>
      </c>
      <c r="F59">
        <v>5.4</v>
      </c>
      <c r="G59">
        <v>0</v>
      </c>
      <c r="H59">
        <v>1</v>
      </c>
      <c r="I59" t="s">
        <v>68</v>
      </c>
      <c r="J59" t="s">
        <v>68</v>
      </c>
      <c r="K59">
        <v>0</v>
      </c>
    </row>
    <row r="60" spans="1:11" x14ac:dyDescent="0.2">
      <c r="A60" t="s">
        <v>463</v>
      </c>
      <c r="B60">
        <v>3</v>
      </c>
      <c r="C60" t="s">
        <v>12</v>
      </c>
      <c r="D60">
        <v>1</v>
      </c>
      <c r="E60">
        <v>0</v>
      </c>
      <c r="F60">
        <v>0</v>
      </c>
      <c r="G60">
        <v>0</v>
      </c>
      <c r="H60">
        <v>0</v>
      </c>
      <c r="I60" t="s">
        <v>96</v>
      </c>
      <c r="J60" t="s">
        <v>96</v>
      </c>
      <c r="K60">
        <v>0</v>
      </c>
    </row>
    <row r="61" spans="1:11" x14ac:dyDescent="0.2">
      <c r="A61" t="s">
        <v>463</v>
      </c>
      <c r="B61">
        <v>3</v>
      </c>
      <c r="C61" t="s">
        <v>13</v>
      </c>
      <c r="D61">
        <v>1</v>
      </c>
      <c r="E61">
        <v>5</v>
      </c>
      <c r="F61">
        <v>5</v>
      </c>
      <c r="G61">
        <v>0</v>
      </c>
      <c r="H61">
        <v>1</v>
      </c>
      <c r="I61" t="s">
        <v>14</v>
      </c>
      <c r="J61" t="s">
        <v>14</v>
      </c>
      <c r="K61">
        <v>0</v>
      </c>
    </row>
    <row r="62" spans="1:11" x14ac:dyDescent="0.2">
      <c r="A62" t="s">
        <v>468</v>
      </c>
      <c r="B62">
        <v>1</v>
      </c>
      <c r="C62" t="s">
        <v>4</v>
      </c>
      <c r="D62">
        <v>1</v>
      </c>
      <c r="E62">
        <v>35.659999999999997</v>
      </c>
      <c r="F62">
        <v>35.659999999999997</v>
      </c>
      <c r="G62">
        <v>0</v>
      </c>
      <c r="H62">
        <v>1</v>
      </c>
      <c r="I62" t="s">
        <v>49</v>
      </c>
      <c r="J62" t="s">
        <v>49</v>
      </c>
      <c r="K62">
        <v>0</v>
      </c>
    </row>
    <row r="63" spans="1:11" x14ac:dyDescent="0.2">
      <c r="A63" t="s">
        <v>468</v>
      </c>
      <c r="B63">
        <v>1</v>
      </c>
      <c r="C63" t="s">
        <v>5</v>
      </c>
      <c r="D63">
        <v>1</v>
      </c>
      <c r="E63">
        <v>12</v>
      </c>
      <c r="F63">
        <v>12</v>
      </c>
      <c r="G63">
        <v>0</v>
      </c>
      <c r="H63">
        <v>1</v>
      </c>
      <c r="I63" t="s">
        <v>60</v>
      </c>
      <c r="J63" t="s">
        <v>60</v>
      </c>
      <c r="K63">
        <v>0</v>
      </c>
    </row>
    <row r="64" spans="1:11" x14ac:dyDescent="0.2">
      <c r="A64" t="s">
        <v>468</v>
      </c>
      <c r="B64">
        <v>1</v>
      </c>
      <c r="C64" t="s">
        <v>5</v>
      </c>
      <c r="D64">
        <v>2</v>
      </c>
      <c r="E64">
        <v>8.4</v>
      </c>
      <c r="F64">
        <v>8.4</v>
      </c>
      <c r="G64">
        <v>0</v>
      </c>
      <c r="H64">
        <v>1</v>
      </c>
      <c r="I64" t="s">
        <v>348</v>
      </c>
      <c r="J64" t="s">
        <v>348</v>
      </c>
      <c r="K64">
        <v>0</v>
      </c>
    </row>
    <row r="65" spans="1:11" x14ac:dyDescent="0.2">
      <c r="A65" t="s">
        <v>468</v>
      </c>
      <c r="B65">
        <v>1</v>
      </c>
      <c r="C65" t="s">
        <v>6</v>
      </c>
      <c r="D65">
        <v>1</v>
      </c>
      <c r="E65">
        <v>12.9</v>
      </c>
      <c r="F65">
        <v>8.1</v>
      </c>
      <c r="G65">
        <v>4.8</v>
      </c>
      <c r="H65">
        <v>1</v>
      </c>
      <c r="I65" t="s">
        <v>243</v>
      </c>
      <c r="J65" t="s">
        <v>472</v>
      </c>
      <c r="K65">
        <v>0</v>
      </c>
    </row>
    <row r="66" spans="1:11" x14ac:dyDescent="0.2">
      <c r="A66" t="s">
        <v>468</v>
      </c>
      <c r="B66">
        <v>1</v>
      </c>
      <c r="C66" t="s">
        <v>6</v>
      </c>
      <c r="D66">
        <v>2</v>
      </c>
      <c r="E66">
        <v>8.1</v>
      </c>
      <c r="F66">
        <v>6.8</v>
      </c>
      <c r="G66">
        <v>1.3</v>
      </c>
      <c r="H66">
        <v>1</v>
      </c>
      <c r="I66" t="s">
        <v>89</v>
      </c>
      <c r="J66" t="s">
        <v>243</v>
      </c>
      <c r="K66">
        <v>0</v>
      </c>
    </row>
    <row r="67" spans="1:11" x14ac:dyDescent="0.2">
      <c r="A67" t="s">
        <v>468</v>
      </c>
      <c r="B67">
        <v>1</v>
      </c>
      <c r="C67" t="s">
        <v>9</v>
      </c>
      <c r="D67">
        <v>1</v>
      </c>
      <c r="E67">
        <v>0</v>
      </c>
      <c r="F67">
        <v>0</v>
      </c>
      <c r="G67">
        <v>0</v>
      </c>
      <c r="H67">
        <v>1</v>
      </c>
      <c r="I67" t="s">
        <v>323</v>
      </c>
      <c r="J67" t="s">
        <v>323</v>
      </c>
      <c r="K67">
        <v>0</v>
      </c>
    </row>
    <row r="68" spans="1:11" x14ac:dyDescent="0.2">
      <c r="A68" t="s">
        <v>468</v>
      </c>
      <c r="B68">
        <v>1</v>
      </c>
      <c r="C68" t="s">
        <v>11</v>
      </c>
      <c r="D68">
        <v>1</v>
      </c>
      <c r="E68">
        <v>6.8</v>
      </c>
      <c r="F68">
        <v>5.5</v>
      </c>
      <c r="G68">
        <v>1.3</v>
      </c>
      <c r="H68">
        <v>1</v>
      </c>
      <c r="I68" t="s">
        <v>207</v>
      </c>
      <c r="J68" t="s">
        <v>89</v>
      </c>
      <c r="K68">
        <v>0</v>
      </c>
    </row>
    <row r="69" spans="1:11" x14ac:dyDescent="0.2">
      <c r="A69" t="s">
        <v>468</v>
      </c>
      <c r="B69">
        <v>1</v>
      </c>
      <c r="C69" t="s">
        <v>11</v>
      </c>
      <c r="D69">
        <v>2</v>
      </c>
      <c r="E69">
        <v>6.1</v>
      </c>
      <c r="F69">
        <v>0</v>
      </c>
      <c r="G69">
        <v>6.1</v>
      </c>
      <c r="H69">
        <v>1</v>
      </c>
      <c r="I69" t="s">
        <v>471</v>
      </c>
      <c r="J69" t="s">
        <v>319</v>
      </c>
      <c r="K69">
        <v>0</v>
      </c>
    </row>
    <row r="70" spans="1:11" x14ac:dyDescent="0.2">
      <c r="A70" t="s">
        <v>468</v>
      </c>
      <c r="B70">
        <v>1</v>
      </c>
      <c r="C70" t="s">
        <v>12</v>
      </c>
      <c r="D70">
        <v>1</v>
      </c>
      <c r="E70">
        <v>0</v>
      </c>
      <c r="F70">
        <v>0</v>
      </c>
      <c r="G70">
        <v>0</v>
      </c>
      <c r="H70">
        <v>1</v>
      </c>
      <c r="I70" t="s">
        <v>445</v>
      </c>
      <c r="J70" t="s">
        <v>445</v>
      </c>
      <c r="K70">
        <v>0</v>
      </c>
    </row>
    <row r="71" spans="1:11" x14ac:dyDescent="0.2">
      <c r="A71" t="s">
        <v>468</v>
      </c>
      <c r="B71">
        <v>1</v>
      </c>
      <c r="C71" t="s">
        <v>13</v>
      </c>
      <c r="D71">
        <v>1</v>
      </c>
      <c r="E71">
        <v>12</v>
      </c>
      <c r="F71">
        <v>12</v>
      </c>
      <c r="G71">
        <v>0</v>
      </c>
      <c r="H71">
        <v>1</v>
      </c>
      <c r="I71" t="s">
        <v>329</v>
      </c>
      <c r="J71" t="s">
        <v>329</v>
      </c>
      <c r="K71">
        <v>0</v>
      </c>
    </row>
    <row r="72" spans="1:11" x14ac:dyDescent="0.2">
      <c r="A72" t="s">
        <v>468</v>
      </c>
      <c r="B72">
        <v>2</v>
      </c>
      <c r="C72" t="s">
        <v>4</v>
      </c>
      <c r="D72">
        <v>1</v>
      </c>
      <c r="E72">
        <v>40.82</v>
      </c>
      <c r="F72">
        <v>40.82</v>
      </c>
      <c r="G72">
        <v>0</v>
      </c>
      <c r="H72">
        <v>1</v>
      </c>
      <c r="I72" t="s">
        <v>49</v>
      </c>
      <c r="J72" t="s">
        <v>49</v>
      </c>
      <c r="K72">
        <v>0</v>
      </c>
    </row>
    <row r="73" spans="1:11" x14ac:dyDescent="0.2">
      <c r="A73" t="s">
        <v>468</v>
      </c>
      <c r="B73">
        <v>2</v>
      </c>
      <c r="C73" t="s">
        <v>5</v>
      </c>
      <c r="D73">
        <v>1</v>
      </c>
      <c r="E73">
        <v>20.399999999999999</v>
      </c>
      <c r="F73">
        <v>20.399999999999999</v>
      </c>
      <c r="G73">
        <v>0</v>
      </c>
      <c r="H73">
        <v>1</v>
      </c>
      <c r="I73" t="s">
        <v>348</v>
      </c>
      <c r="J73" t="s">
        <v>348</v>
      </c>
      <c r="K73">
        <v>0</v>
      </c>
    </row>
    <row r="74" spans="1:11" x14ac:dyDescent="0.2">
      <c r="A74" t="s">
        <v>468</v>
      </c>
      <c r="B74">
        <v>2</v>
      </c>
      <c r="C74" t="s">
        <v>5</v>
      </c>
      <c r="D74">
        <v>2</v>
      </c>
      <c r="E74">
        <v>3.1</v>
      </c>
      <c r="F74">
        <v>3.1</v>
      </c>
      <c r="G74">
        <v>0</v>
      </c>
      <c r="H74">
        <v>1</v>
      </c>
      <c r="I74" t="s">
        <v>60</v>
      </c>
      <c r="J74" t="s">
        <v>60</v>
      </c>
      <c r="K74">
        <v>0</v>
      </c>
    </row>
    <row r="75" spans="1:11" x14ac:dyDescent="0.2">
      <c r="A75" t="s">
        <v>468</v>
      </c>
      <c r="B75">
        <v>2</v>
      </c>
      <c r="C75" t="s">
        <v>6</v>
      </c>
      <c r="D75">
        <v>1</v>
      </c>
      <c r="E75">
        <v>22.7</v>
      </c>
      <c r="F75">
        <v>22.7</v>
      </c>
      <c r="G75">
        <v>0</v>
      </c>
      <c r="H75">
        <v>1</v>
      </c>
      <c r="I75" t="s">
        <v>89</v>
      </c>
      <c r="J75" t="s">
        <v>89</v>
      </c>
      <c r="K75">
        <v>0</v>
      </c>
    </row>
    <row r="76" spans="1:11" x14ac:dyDescent="0.2">
      <c r="A76" t="s">
        <v>468</v>
      </c>
      <c r="B76">
        <v>2</v>
      </c>
      <c r="C76" t="s">
        <v>6</v>
      </c>
      <c r="D76">
        <v>2</v>
      </c>
      <c r="E76">
        <v>18</v>
      </c>
      <c r="F76">
        <v>1.6</v>
      </c>
      <c r="G76">
        <v>16.399999999999999</v>
      </c>
      <c r="H76">
        <v>1</v>
      </c>
      <c r="I76" t="s">
        <v>243</v>
      </c>
      <c r="J76" t="s">
        <v>472</v>
      </c>
      <c r="K76">
        <v>0</v>
      </c>
    </row>
    <row r="77" spans="1:11" x14ac:dyDescent="0.2">
      <c r="A77" t="s">
        <v>468</v>
      </c>
      <c r="B77">
        <v>2</v>
      </c>
      <c r="C77" t="s">
        <v>9</v>
      </c>
      <c r="D77">
        <v>1</v>
      </c>
      <c r="E77">
        <v>0.8</v>
      </c>
      <c r="F77">
        <v>0.8</v>
      </c>
      <c r="G77">
        <v>0</v>
      </c>
      <c r="H77">
        <v>1</v>
      </c>
      <c r="I77" t="s">
        <v>323</v>
      </c>
      <c r="J77" t="s">
        <v>323</v>
      </c>
      <c r="K77">
        <v>0</v>
      </c>
    </row>
    <row r="78" spans="1:11" x14ac:dyDescent="0.2">
      <c r="A78" t="s">
        <v>468</v>
      </c>
      <c r="B78">
        <v>2</v>
      </c>
      <c r="C78" t="s">
        <v>11</v>
      </c>
      <c r="D78">
        <v>1</v>
      </c>
      <c r="E78">
        <v>5.5</v>
      </c>
      <c r="F78">
        <v>5.5</v>
      </c>
      <c r="G78">
        <v>0</v>
      </c>
      <c r="H78">
        <v>1</v>
      </c>
      <c r="I78" t="s">
        <v>207</v>
      </c>
      <c r="J78" t="s">
        <v>207</v>
      </c>
      <c r="K78">
        <v>0</v>
      </c>
    </row>
    <row r="79" spans="1:11" x14ac:dyDescent="0.2">
      <c r="A79" t="s">
        <v>468</v>
      </c>
      <c r="B79">
        <v>2</v>
      </c>
      <c r="C79" t="s">
        <v>11</v>
      </c>
      <c r="D79">
        <v>2</v>
      </c>
      <c r="E79">
        <v>4.9000000000000004</v>
      </c>
      <c r="F79">
        <v>4.9000000000000004</v>
      </c>
      <c r="G79">
        <v>0</v>
      </c>
      <c r="H79">
        <v>0</v>
      </c>
      <c r="I79" t="s">
        <v>241</v>
      </c>
      <c r="J79" t="s">
        <v>241</v>
      </c>
      <c r="K79">
        <v>4.9000000000000004</v>
      </c>
    </row>
    <row r="80" spans="1:11" x14ac:dyDescent="0.2">
      <c r="A80" t="s">
        <v>468</v>
      </c>
      <c r="B80">
        <v>2</v>
      </c>
      <c r="C80" t="s">
        <v>12</v>
      </c>
      <c r="D80">
        <v>1</v>
      </c>
      <c r="E80">
        <v>4</v>
      </c>
      <c r="F80">
        <v>4</v>
      </c>
      <c r="G80">
        <v>0</v>
      </c>
      <c r="H80">
        <v>1</v>
      </c>
      <c r="I80" t="s">
        <v>445</v>
      </c>
      <c r="J80" t="s">
        <v>445</v>
      </c>
      <c r="K80">
        <v>0</v>
      </c>
    </row>
    <row r="81" spans="1:11" x14ac:dyDescent="0.2">
      <c r="A81" t="s">
        <v>468</v>
      </c>
      <c r="B81">
        <v>2</v>
      </c>
      <c r="C81" t="s">
        <v>13</v>
      </c>
      <c r="D81">
        <v>1</v>
      </c>
      <c r="E81">
        <v>7</v>
      </c>
      <c r="F81">
        <v>7</v>
      </c>
      <c r="G81">
        <v>0</v>
      </c>
      <c r="H81">
        <v>1</v>
      </c>
      <c r="I81" t="s">
        <v>329</v>
      </c>
      <c r="J81" t="s">
        <v>329</v>
      </c>
      <c r="K81">
        <v>0</v>
      </c>
    </row>
    <row r="82" spans="1:11" x14ac:dyDescent="0.2">
      <c r="A82" t="s">
        <v>468</v>
      </c>
      <c r="B82">
        <v>3</v>
      </c>
      <c r="C82" t="s">
        <v>4</v>
      </c>
      <c r="D82">
        <v>1</v>
      </c>
      <c r="E82">
        <v>16.96</v>
      </c>
      <c r="F82">
        <v>16.96</v>
      </c>
      <c r="G82">
        <v>0</v>
      </c>
      <c r="H82">
        <v>1</v>
      </c>
      <c r="I82" t="s">
        <v>49</v>
      </c>
      <c r="J82" t="s">
        <v>49</v>
      </c>
      <c r="K82">
        <v>0</v>
      </c>
    </row>
    <row r="83" spans="1:11" x14ac:dyDescent="0.2">
      <c r="A83" t="s">
        <v>468</v>
      </c>
      <c r="B83">
        <v>3</v>
      </c>
      <c r="C83" t="s">
        <v>5</v>
      </c>
      <c r="D83">
        <v>1</v>
      </c>
      <c r="E83">
        <v>19.399999999999999</v>
      </c>
      <c r="F83">
        <v>19.399999999999999</v>
      </c>
      <c r="G83">
        <v>0</v>
      </c>
      <c r="H83">
        <v>1</v>
      </c>
      <c r="I83" t="s">
        <v>348</v>
      </c>
      <c r="J83" t="s">
        <v>348</v>
      </c>
      <c r="K83">
        <v>0</v>
      </c>
    </row>
    <row r="84" spans="1:11" x14ac:dyDescent="0.2">
      <c r="A84" t="s">
        <v>468</v>
      </c>
      <c r="B84">
        <v>3</v>
      </c>
      <c r="C84" t="s">
        <v>5</v>
      </c>
      <c r="D84">
        <v>2</v>
      </c>
      <c r="E84">
        <v>9.6999999999999993</v>
      </c>
      <c r="F84">
        <v>5.3</v>
      </c>
      <c r="G84">
        <v>4.4000000000000004</v>
      </c>
      <c r="H84">
        <v>1</v>
      </c>
      <c r="I84" t="s">
        <v>60</v>
      </c>
      <c r="J84" t="s">
        <v>453</v>
      </c>
      <c r="K84">
        <v>0</v>
      </c>
    </row>
    <row r="85" spans="1:11" x14ac:dyDescent="0.2">
      <c r="A85" t="s">
        <v>468</v>
      </c>
      <c r="B85">
        <v>3</v>
      </c>
      <c r="C85" t="s">
        <v>6</v>
      </c>
      <c r="D85">
        <v>1</v>
      </c>
      <c r="E85">
        <v>9.5</v>
      </c>
      <c r="F85">
        <v>9.5</v>
      </c>
      <c r="G85">
        <v>0</v>
      </c>
      <c r="H85">
        <v>1</v>
      </c>
      <c r="I85" t="s">
        <v>89</v>
      </c>
      <c r="J85" t="s">
        <v>89</v>
      </c>
      <c r="K85">
        <v>0</v>
      </c>
    </row>
    <row r="86" spans="1:11" x14ac:dyDescent="0.2">
      <c r="A86" t="s">
        <v>468</v>
      </c>
      <c r="B86">
        <v>3</v>
      </c>
      <c r="C86" t="s">
        <v>6</v>
      </c>
      <c r="D86">
        <v>2</v>
      </c>
      <c r="E86">
        <v>8.6</v>
      </c>
      <c r="F86">
        <v>7.1</v>
      </c>
      <c r="G86">
        <v>1.5</v>
      </c>
      <c r="H86">
        <v>1</v>
      </c>
      <c r="I86" t="s">
        <v>472</v>
      </c>
      <c r="J86" t="s">
        <v>346</v>
      </c>
      <c r="K86">
        <v>0</v>
      </c>
    </row>
    <row r="87" spans="1:11" x14ac:dyDescent="0.2">
      <c r="A87" t="s">
        <v>468</v>
      </c>
      <c r="B87">
        <v>3</v>
      </c>
      <c r="C87" t="s">
        <v>9</v>
      </c>
      <c r="D87">
        <v>1</v>
      </c>
      <c r="E87">
        <v>5.0999999999999996</v>
      </c>
      <c r="F87">
        <v>5.0999999999999996</v>
      </c>
      <c r="G87">
        <v>0</v>
      </c>
      <c r="H87">
        <v>1</v>
      </c>
      <c r="I87" t="s">
        <v>323</v>
      </c>
      <c r="J87" t="s">
        <v>323</v>
      </c>
      <c r="K87">
        <v>0</v>
      </c>
    </row>
    <row r="88" spans="1:11" x14ac:dyDescent="0.2">
      <c r="A88" t="s">
        <v>468</v>
      </c>
      <c r="B88">
        <v>3</v>
      </c>
      <c r="C88" t="s">
        <v>11</v>
      </c>
      <c r="D88">
        <v>1</v>
      </c>
      <c r="E88">
        <v>7.7</v>
      </c>
      <c r="F88">
        <v>2.4</v>
      </c>
      <c r="G88">
        <v>5.3</v>
      </c>
      <c r="H88">
        <v>0</v>
      </c>
      <c r="I88" t="s">
        <v>219</v>
      </c>
      <c r="J88" t="s">
        <v>319</v>
      </c>
      <c r="K88">
        <v>2.4</v>
      </c>
    </row>
    <row r="89" spans="1:11" x14ac:dyDescent="0.2">
      <c r="A89" t="s">
        <v>468</v>
      </c>
      <c r="B89">
        <v>3</v>
      </c>
      <c r="C89" t="s">
        <v>11</v>
      </c>
      <c r="D89">
        <v>2</v>
      </c>
      <c r="E89">
        <v>7.1</v>
      </c>
      <c r="F89">
        <v>1.3</v>
      </c>
      <c r="G89">
        <v>5.8</v>
      </c>
      <c r="H89">
        <v>1</v>
      </c>
      <c r="I89" t="s">
        <v>207</v>
      </c>
      <c r="J89" t="s">
        <v>472</v>
      </c>
      <c r="K89">
        <v>0</v>
      </c>
    </row>
    <row r="90" spans="1:11" x14ac:dyDescent="0.2">
      <c r="A90" t="s">
        <v>468</v>
      </c>
      <c r="B90">
        <v>3</v>
      </c>
      <c r="C90" t="s">
        <v>12</v>
      </c>
      <c r="D90">
        <v>1</v>
      </c>
      <c r="E90">
        <v>9</v>
      </c>
      <c r="F90">
        <v>9</v>
      </c>
      <c r="G90">
        <v>0</v>
      </c>
      <c r="H90">
        <v>0</v>
      </c>
      <c r="I90" t="s">
        <v>447</v>
      </c>
      <c r="J90" t="s">
        <v>447</v>
      </c>
      <c r="K90">
        <v>9</v>
      </c>
    </row>
    <row r="91" spans="1:11" x14ac:dyDescent="0.2">
      <c r="A91" t="s">
        <v>468</v>
      </c>
      <c r="B91">
        <v>3</v>
      </c>
      <c r="C91" t="s">
        <v>13</v>
      </c>
      <c r="D91">
        <v>1</v>
      </c>
      <c r="E91">
        <v>4</v>
      </c>
      <c r="F91">
        <v>4</v>
      </c>
      <c r="G91">
        <v>0</v>
      </c>
      <c r="H91">
        <v>1</v>
      </c>
      <c r="I91" t="s">
        <v>329</v>
      </c>
      <c r="J91" t="s">
        <v>329</v>
      </c>
      <c r="K91">
        <v>0</v>
      </c>
    </row>
    <row r="92" spans="1:11" x14ac:dyDescent="0.2">
      <c r="A92" t="s">
        <v>469</v>
      </c>
      <c r="B92">
        <v>1</v>
      </c>
      <c r="C92" t="s">
        <v>4</v>
      </c>
      <c r="D92">
        <v>1</v>
      </c>
      <c r="E92">
        <v>23.2</v>
      </c>
      <c r="F92">
        <v>23.2</v>
      </c>
      <c r="G92">
        <v>0</v>
      </c>
      <c r="H92">
        <v>1</v>
      </c>
      <c r="I92" t="s">
        <v>462</v>
      </c>
      <c r="J92" t="s">
        <v>462</v>
      </c>
      <c r="K92">
        <v>0</v>
      </c>
    </row>
    <row r="93" spans="1:11" x14ac:dyDescent="0.2">
      <c r="A93" t="s">
        <v>469</v>
      </c>
      <c r="B93">
        <v>1</v>
      </c>
      <c r="C93" t="s">
        <v>5</v>
      </c>
      <c r="D93">
        <v>1</v>
      </c>
      <c r="E93">
        <v>32.6</v>
      </c>
      <c r="F93">
        <v>31.9</v>
      </c>
      <c r="G93">
        <v>0.70000000000000295</v>
      </c>
      <c r="H93">
        <v>1</v>
      </c>
      <c r="I93" t="s">
        <v>66</v>
      </c>
      <c r="J93" t="s">
        <v>147</v>
      </c>
      <c r="K93">
        <v>0</v>
      </c>
    </row>
    <row r="94" spans="1:11" x14ac:dyDescent="0.2">
      <c r="A94" t="s">
        <v>469</v>
      </c>
      <c r="B94">
        <v>1</v>
      </c>
      <c r="C94" t="s">
        <v>5</v>
      </c>
      <c r="D94">
        <v>2</v>
      </c>
      <c r="E94">
        <v>31.9</v>
      </c>
      <c r="F94">
        <v>11.3</v>
      </c>
      <c r="G94">
        <v>20.6</v>
      </c>
      <c r="H94">
        <v>1</v>
      </c>
      <c r="I94" t="s">
        <v>84</v>
      </c>
      <c r="J94" t="s">
        <v>66</v>
      </c>
      <c r="K94">
        <v>0</v>
      </c>
    </row>
    <row r="95" spans="1:11" x14ac:dyDescent="0.2">
      <c r="A95" t="s">
        <v>469</v>
      </c>
      <c r="B95">
        <v>1</v>
      </c>
      <c r="C95" t="s">
        <v>6</v>
      </c>
      <c r="D95">
        <v>1</v>
      </c>
      <c r="E95">
        <v>23.5</v>
      </c>
      <c r="F95">
        <v>23.5</v>
      </c>
      <c r="G95">
        <v>0</v>
      </c>
      <c r="H95">
        <v>1</v>
      </c>
      <c r="I95" t="s">
        <v>195</v>
      </c>
      <c r="J95" t="s">
        <v>195</v>
      </c>
      <c r="K95">
        <v>0</v>
      </c>
    </row>
    <row r="96" spans="1:11" x14ac:dyDescent="0.2">
      <c r="A96" t="s">
        <v>469</v>
      </c>
      <c r="B96">
        <v>1</v>
      </c>
      <c r="C96" t="s">
        <v>6</v>
      </c>
      <c r="D96">
        <v>2</v>
      </c>
      <c r="E96">
        <v>16.399999999999999</v>
      </c>
      <c r="F96">
        <v>3.8</v>
      </c>
      <c r="G96">
        <v>12.6</v>
      </c>
      <c r="H96">
        <v>1</v>
      </c>
      <c r="I96" t="s">
        <v>199</v>
      </c>
      <c r="J96" t="s">
        <v>454</v>
      </c>
      <c r="K96">
        <v>0</v>
      </c>
    </row>
    <row r="97" spans="1:11" x14ac:dyDescent="0.2">
      <c r="A97" t="s">
        <v>469</v>
      </c>
      <c r="B97">
        <v>1</v>
      </c>
      <c r="C97" t="s">
        <v>9</v>
      </c>
      <c r="D97">
        <v>1</v>
      </c>
      <c r="E97">
        <v>8</v>
      </c>
      <c r="F97">
        <v>8</v>
      </c>
      <c r="G97">
        <v>0</v>
      </c>
      <c r="H97">
        <v>1</v>
      </c>
      <c r="I97" t="s">
        <v>250</v>
      </c>
      <c r="J97" t="s">
        <v>250</v>
      </c>
      <c r="K97">
        <v>0</v>
      </c>
    </row>
    <row r="98" spans="1:11" x14ac:dyDescent="0.2">
      <c r="A98" t="s">
        <v>469</v>
      </c>
      <c r="B98">
        <v>1</v>
      </c>
      <c r="C98" t="s">
        <v>11</v>
      </c>
      <c r="D98">
        <v>1</v>
      </c>
      <c r="E98">
        <v>11.3</v>
      </c>
      <c r="F98">
        <v>32.6</v>
      </c>
      <c r="G98">
        <v>-21.3</v>
      </c>
      <c r="H98">
        <v>1</v>
      </c>
      <c r="I98" t="s">
        <v>147</v>
      </c>
      <c r="J98" t="s">
        <v>84</v>
      </c>
      <c r="K98">
        <v>0</v>
      </c>
    </row>
    <row r="99" spans="1:11" x14ac:dyDescent="0.2">
      <c r="A99" t="s">
        <v>469</v>
      </c>
      <c r="B99">
        <v>1</v>
      </c>
      <c r="C99" t="s">
        <v>11</v>
      </c>
      <c r="D99">
        <v>2</v>
      </c>
      <c r="E99">
        <v>6.3</v>
      </c>
      <c r="F99">
        <v>6.3</v>
      </c>
      <c r="G99">
        <v>0</v>
      </c>
      <c r="H99">
        <v>1</v>
      </c>
      <c r="I99" t="s">
        <v>313</v>
      </c>
      <c r="J99" t="s">
        <v>313</v>
      </c>
      <c r="K99">
        <v>0</v>
      </c>
    </row>
    <row r="100" spans="1:11" x14ac:dyDescent="0.2">
      <c r="A100" t="s">
        <v>469</v>
      </c>
      <c r="B100">
        <v>1</v>
      </c>
      <c r="C100" t="s">
        <v>12</v>
      </c>
      <c r="D100">
        <v>1</v>
      </c>
      <c r="E100">
        <v>5</v>
      </c>
      <c r="F100">
        <v>5</v>
      </c>
      <c r="G100">
        <v>0</v>
      </c>
      <c r="H100">
        <v>1</v>
      </c>
      <c r="I100" t="s">
        <v>141</v>
      </c>
      <c r="J100" t="s">
        <v>141</v>
      </c>
      <c r="K100">
        <v>0</v>
      </c>
    </row>
    <row r="101" spans="1:11" x14ac:dyDescent="0.2">
      <c r="A101" t="s">
        <v>469</v>
      </c>
      <c r="B101">
        <v>1</v>
      </c>
      <c r="C101" t="s">
        <v>13</v>
      </c>
      <c r="D101">
        <v>1</v>
      </c>
      <c r="E101">
        <v>6</v>
      </c>
      <c r="F101">
        <v>6</v>
      </c>
      <c r="G101">
        <v>0</v>
      </c>
      <c r="H101">
        <v>1</v>
      </c>
      <c r="I101" t="s">
        <v>315</v>
      </c>
      <c r="J101" t="s">
        <v>315</v>
      </c>
      <c r="K101">
        <v>0</v>
      </c>
    </row>
    <row r="102" spans="1:11" x14ac:dyDescent="0.2">
      <c r="A102" t="s">
        <v>469</v>
      </c>
      <c r="B102">
        <v>2</v>
      </c>
      <c r="C102" t="s">
        <v>4</v>
      </c>
      <c r="D102">
        <v>1</v>
      </c>
      <c r="E102">
        <v>22.38</v>
      </c>
      <c r="F102">
        <v>22.38</v>
      </c>
      <c r="G102">
        <v>0</v>
      </c>
      <c r="H102">
        <v>1</v>
      </c>
      <c r="I102" t="s">
        <v>462</v>
      </c>
      <c r="J102" t="s">
        <v>462</v>
      </c>
      <c r="K102">
        <v>0</v>
      </c>
    </row>
    <row r="103" spans="1:11" x14ac:dyDescent="0.2">
      <c r="A103" t="s">
        <v>469</v>
      </c>
      <c r="B103">
        <v>2</v>
      </c>
      <c r="C103" t="s">
        <v>5</v>
      </c>
      <c r="D103">
        <v>1</v>
      </c>
      <c r="E103">
        <v>20.8</v>
      </c>
      <c r="F103">
        <v>20.8</v>
      </c>
      <c r="G103">
        <v>0</v>
      </c>
      <c r="H103">
        <v>1</v>
      </c>
      <c r="I103" t="s">
        <v>147</v>
      </c>
      <c r="J103" t="s">
        <v>147</v>
      </c>
      <c r="K103">
        <v>0</v>
      </c>
    </row>
    <row r="104" spans="1:11" x14ac:dyDescent="0.2">
      <c r="A104" t="s">
        <v>469</v>
      </c>
      <c r="B104">
        <v>2</v>
      </c>
      <c r="C104" t="s">
        <v>5</v>
      </c>
      <c r="D104">
        <v>2</v>
      </c>
      <c r="E104">
        <v>20.6</v>
      </c>
      <c r="F104">
        <v>20.6</v>
      </c>
      <c r="G104">
        <v>0</v>
      </c>
      <c r="H104">
        <v>1</v>
      </c>
      <c r="I104" t="s">
        <v>84</v>
      </c>
      <c r="J104" t="s">
        <v>84</v>
      </c>
      <c r="K104">
        <v>0</v>
      </c>
    </row>
    <row r="105" spans="1:11" x14ac:dyDescent="0.2">
      <c r="A105" t="s">
        <v>469</v>
      </c>
      <c r="B105">
        <v>2</v>
      </c>
      <c r="C105" t="s">
        <v>6</v>
      </c>
      <c r="D105">
        <v>1</v>
      </c>
      <c r="E105">
        <v>18.3</v>
      </c>
      <c r="F105">
        <v>8.9</v>
      </c>
      <c r="G105">
        <v>9.4</v>
      </c>
      <c r="H105">
        <v>0</v>
      </c>
      <c r="I105" t="s">
        <v>454</v>
      </c>
      <c r="J105" t="s">
        <v>281</v>
      </c>
      <c r="K105">
        <v>8.9</v>
      </c>
    </row>
    <row r="106" spans="1:11" x14ac:dyDescent="0.2">
      <c r="A106" t="s">
        <v>469</v>
      </c>
      <c r="B106">
        <v>2</v>
      </c>
      <c r="C106" t="s">
        <v>6</v>
      </c>
      <c r="D106">
        <v>2</v>
      </c>
      <c r="E106">
        <v>8.9</v>
      </c>
      <c r="F106">
        <v>7.3</v>
      </c>
      <c r="G106">
        <v>1.6</v>
      </c>
      <c r="H106">
        <v>1</v>
      </c>
      <c r="I106" t="s">
        <v>313</v>
      </c>
      <c r="J106" t="s">
        <v>454</v>
      </c>
      <c r="K106">
        <v>0</v>
      </c>
    </row>
    <row r="107" spans="1:11" x14ac:dyDescent="0.2">
      <c r="A107" t="s">
        <v>469</v>
      </c>
      <c r="B107">
        <v>2</v>
      </c>
      <c r="C107" t="s">
        <v>9</v>
      </c>
      <c r="D107">
        <v>1</v>
      </c>
      <c r="E107">
        <v>2.5</v>
      </c>
      <c r="F107">
        <v>2.5</v>
      </c>
      <c r="G107">
        <v>0</v>
      </c>
      <c r="H107">
        <v>1</v>
      </c>
      <c r="I107" t="s">
        <v>250</v>
      </c>
      <c r="J107" t="s">
        <v>250</v>
      </c>
      <c r="K107">
        <v>0</v>
      </c>
    </row>
    <row r="108" spans="1:11" x14ac:dyDescent="0.2">
      <c r="A108" t="s">
        <v>469</v>
      </c>
      <c r="B108">
        <v>2</v>
      </c>
      <c r="C108" t="s">
        <v>11</v>
      </c>
      <c r="D108">
        <v>1</v>
      </c>
      <c r="E108">
        <v>10.4</v>
      </c>
      <c r="F108">
        <v>18.3</v>
      </c>
      <c r="G108">
        <v>-7.9</v>
      </c>
      <c r="H108">
        <v>0</v>
      </c>
      <c r="I108" t="s">
        <v>281</v>
      </c>
      <c r="J108" t="s">
        <v>66</v>
      </c>
      <c r="K108">
        <v>18.3</v>
      </c>
    </row>
    <row r="109" spans="1:11" x14ac:dyDescent="0.2">
      <c r="A109" t="s">
        <v>469</v>
      </c>
      <c r="B109">
        <v>2</v>
      </c>
      <c r="C109" t="s">
        <v>11</v>
      </c>
      <c r="D109">
        <v>2</v>
      </c>
      <c r="E109">
        <v>7.3</v>
      </c>
      <c r="F109">
        <v>10.4</v>
      </c>
      <c r="G109">
        <v>-3.1</v>
      </c>
      <c r="H109">
        <v>1</v>
      </c>
      <c r="I109" t="s">
        <v>66</v>
      </c>
      <c r="J109" t="s">
        <v>313</v>
      </c>
      <c r="K109">
        <v>0</v>
      </c>
    </row>
    <row r="110" spans="1:11" x14ac:dyDescent="0.2">
      <c r="A110" t="s">
        <v>469</v>
      </c>
      <c r="B110">
        <v>2</v>
      </c>
      <c r="C110" t="s">
        <v>12</v>
      </c>
      <c r="D110">
        <v>1</v>
      </c>
      <c r="E110">
        <v>16</v>
      </c>
      <c r="F110">
        <v>16</v>
      </c>
      <c r="G110">
        <v>0</v>
      </c>
      <c r="H110">
        <v>1</v>
      </c>
      <c r="I110" t="s">
        <v>141</v>
      </c>
      <c r="J110" t="s">
        <v>141</v>
      </c>
      <c r="K110">
        <v>0</v>
      </c>
    </row>
    <row r="111" spans="1:11" x14ac:dyDescent="0.2">
      <c r="A111" t="s">
        <v>469</v>
      </c>
      <c r="B111">
        <v>2</v>
      </c>
      <c r="C111" t="s">
        <v>13</v>
      </c>
      <c r="D111">
        <v>1</v>
      </c>
      <c r="E111">
        <v>8</v>
      </c>
      <c r="F111">
        <v>8</v>
      </c>
      <c r="G111">
        <v>0</v>
      </c>
      <c r="H111">
        <v>1</v>
      </c>
      <c r="I111" t="s">
        <v>315</v>
      </c>
      <c r="J111" t="s">
        <v>315</v>
      </c>
      <c r="K111">
        <v>0</v>
      </c>
    </row>
    <row r="112" spans="1:11" x14ac:dyDescent="0.2">
      <c r="A112" t="s">
        <v>469</v>
      </c>
      <c r="B112">
        <v>3</v>
      </c>
      <c r="C112" t="s">
        <v>4</v>
      </c>
      <c r="D112">
        <v>1</v>
      </c>
      <c r="E112">
        <v>23.8</v>
      </c>
      <c r="F112">
        <v>23.8</v>
      </c>
      <c r="G112">
        <v>0</v>
      </c>
      <c r="H112">
        <v>1</v>
      </c>
      <c r="I112" t="s">
        <v>462</v>
      </c>
      <c r="J112" t="s">
        <v>462</v>
      </c>
      <c r="K112">
        <v>0</v>
      </c>
    </row>
    <row r="113" spans="1:11" x14ac:dyDescent="0.2">
      <c r="A113" t="s">
        <v>469</v>
      </c>
      <c r="B113">
        <v>3</v>
      </c>
      <c r="C113" t="s">
        <v>5</v>
      </c>
      <c r="D113">
        <v>1</v>
      </c>
      <c r="E113">
        <v>20.3</v>
      </c>
      <c r="F113">
        <v>20.3</v>
      </c>
      <c r="G113">
        <v>0</v>
      </c>
      <c r="H113">
        <v>1</v>
      </c>
      <c r="I113" t="s">
        <v>147</v>
      </c>
      <c r="J113" t="s">
        <v>147</v>
      </c>
      <c r="K113">
        <v>0</v>
      </c>
    </row>
    <row r="114" spans="1:11" x14ac:dyDescent="0.2">
      <c r="A114" t="s">
        <v>469</v>
      </c>
      <c r="B114">
        <v>3</v>
      </c>
      <c r="C114" t="s">
        <v>5</v>
      </c>
      <c r="D114">
        <v>2</v>
      </c>
      <c r="E114">
        <v>19.600000000000001</v>
      </c>
      <c r="F114">
        <v>19.600000000000001</v>
      </c>
      <c r="G114">
        <v>0</v>
      </c>
      <c r="H114">
        <v>1</v>
      </c>
      <c r="I114" t="s">
        <v>84</v>
      </c>
      <c r="J114" t="s">
        <v>84</v>
      </c>
      <c r="K114">
        <v>0</v>
      </c>
    </row>
    <row r="115" spans="1:11" x14ac:dyDescent="0.2">
      <c r="A115" t="s">
        <v>469</v>
      </c>
      <c r="B115">
        <v>3</v>
      </c>
      <c r="C115" t="s">
        <v>6</v>
      </c>
      <c r="D115">
        <v>1</v>
      </c>
      <c r="E115">
        <v>12.9</v>
      </c>
      <c r="F115">
        <v>12.9</v>
      </c>
      <c r="G115">
        <v>0</v>
      </c>
      <c r="H115">
        <v>1</v>
      </c>
      <c r="I115" t="s">
        <v>195</v>
      </c>
      <c r="J115" t="s">
        <v>195</v>
      </c>
      <c r="K115">
        <v>0</v>
      </c>
    </row>
    <row r="116" spans="1:11" x14ac:dyDescent="0.2">
      <c r="A116" t="s">
        <v>469</v>
      </c>
      <c r="B116">
        <v>3</v>
      </c>
      <c r="C116" t="s">
        <v>6</v>
      </c>
      <c r="D116">
        <v>2</v>
      </c>
      <c r="E116">
        <v>5.5</v>
      </c>
      <c r="F116">
        <v>5.4</v>
      </c>
      <c r="G116">
        <v>9.9999999999999603E-2</v>
      </c>
      <c r="H116">
        <v>0</v>
      </c>
      <c r="I116" t="s">
        <v>454</v>
      </c>
      <c r="J116" t="s">
        <v>199</v>
      </c>
      <c r="K116">
        <v>5.4</v>
      </c>
    </row>
    <row r="117" spans="1:11" x14ac:dyDescent="0.2">
      <c r="A117" t="s">
        <v>469</v>
      </c>
      <c r="B117">
        <v>3</v>
      </c>
      <c r="C117" t="s">
        <v>9</v>
      </c>
      <c r="D117">
        <v>1</v>
      </c>
      <c r="E117">
        <v>4.5999999999999996</v>
      </c>
      <c r="F117">
        <v>4.5999999999999996</v>
      </c>
      <c r="G117">
        <v>0</v>
      </c>
      <c r="H117">
        <v>1</v>
      </c>
      <c r="I117" t="s">
        <v>250</v>
      </c>
      <c r="J117" t="s">
        <v>250</v>
      </c>
      <c r="K117">
        <v>0</v>
      </c>
    </row>
    <row r="118" spans="1:11" x14ac:dyDescent="0.2">
      <c r="A118" t="s">
        <v>469</v>
      </c>
      <c r="B118">
        <v>3</v>
      </c>
      <c r="C118" t="s">
        <v>11</v>
      </c>
      <c r="D118">
        <v>1</v>
      </c>
      <c r="E118">
        <v>9.8000000000000007</v>
      </c>
      <c r="F118">
        <v>9.8000000000000007</v>
      </c>
      <c r="G118">
        <v>0</v>
      </c>
      <c r="H118">
        <v>1</v>
      </c>
      <c r="I118" t="s">
        <v>66</v>
      </c>
      <c r="J118" t="s">
        <v>66</v>
      </c>
      <c r="K118">
        <v>0</v>
      </c>
    </row>
    <row r="119" spans="1:11" x14ac:dyDescent="0.2">
      <c r="A119" t="s">
        <v>469</v>
      </c>
      <c r="B119">
        <v>3</v>
      </c>
      <c r="C119" t="s">
        <v>11</v>
      </c>
      <c r="D119">
        <v>2</v>
      </c>
      <c r="E119">
        <v>5.8</v>
      </c>
      <c r="F119">
        <v>4</v>
      </c>
      <c r="G119">
        <v>1.8</v>
      </c>
      <c r="H119">
        <v>1</v>
      </c>
      <c r="I119" t="s">
        <v>313</v>
      </c>
      <c r="J119" t="s">
        <v>100</v>
      </c>
      <c r="K119">
        <v>0</v>
      </c>
    </row>
    <row r="120" spans="1:11" x14ac:dyDescent="0.2">
      <c r="A120" t="s">
        <v>469</v>
      </c>
      <c r="B120">
        <v>3</v>
      </c>
      <c r="C120" t="s">
        <v>12</v>
      </c>
      <c r="D120">
        <v>1</v>
      </c>
      <c r="E120">
        <v>19</v>
      </c>
      <c r="F120">
        <v>19</v>
      </c>
      <c r="G120">
        <v>0</v>
      </c>
      <c r="H120">
        <v>1</v>
      </c>
      <c r="I120" t="s">
        <v>141</v>
      </c>
      <c r="J120" t="s">
        <v>141</v>
      </c>
      <c r="K120">
        <v>0</v>
      </c>
    </row>
    <row r="121" spans="1:11" x14ac:dyDescent="0.2">
      <c r="A121" t="s">
        <v>469</v>
      </c>
      <c r="B121">
        <v>3</v>
      </c>
      <c r="C121" t="s">
        <v>13</v>
      </c>
      <c r="D121">
        <v>1</v>
      </c>
      <c r="E121">
        <v>11</v>
      </c>
      <c r="F121">
        <v>11</v>
      </c>
      <c r="G121">
        <v>0</v>
      </c>
      <c r="H121">
        <v>0</v>
      </c>
      <c r="I121" t="s">
        <v>116</v>
      </c>
      <c r="J121" t="s">
        <v>116</v>
      </c>
      <c r="K121">
        <v>11</v>
      </c>
    </row>
    <row r="122" spans="1:11" x14ac:dyDescent="0.2">
      <c r="A122" t="s">
        <v>478</v>
      </c>
      <c r="B122">
        <v>1</v>
      </c>
      <c r="C122" t="s">
        <v>4</v>
      </c>
      <c r="D122">
        <v>1</v>
      </c>
      <c r="E122">
        <v>9.0399999999999991</v>
      </c>
      <c r="F122">
        <v>5.44</v>
      </c>
      <c r="G122">
        <v>3.6</v>
      </c>
      <c r="H122">
        <v>1</v>
      </c>
      <c r="I122" t="s">
        <v>260</v>
      </c>
      <c r="J122" t="s">
        <v>154</v>
      </c>
      <c r="K122">
        <v>0</v>
      </c>
    </row>
    <row r="123" spans="1:11" x14ac:dyDescent="0.2">
      <c r="A123" t="s">
        <v>478</v>
      </c>
      <c r="B123">
        <v>1</v>
      </c>
      <c r="C123" t="s">
        <v>5</v>
      </c>
      <c r="D123">
        <v>1</v>
      </c>
      <c r="E123">
        <v>31.1</v>
      </c>
      <c r="F123">
        <v>31.1</v>
      </c>
      <c r="G123">
        <v>0</v>
      </c>
      <c r="H123">
        <v>1</v>
      </c>
      <c r="I123" t="s">
        <v>196</v>
      </c>
      <c r="J123" t="s">
        <v>196</v>
      </c>
      <c r="K123">
        <v>0</v>
      </c>
    </row>
    <row r="124" spans="1:11" x14ac:dyDescent="0.2">
      <c r="A124" t="s">
        <v>478</v>
      </c>
      <c r="B124">
        <v>1</v>
      </c>
      <c r="C124" t="s">
        <v>5</v>
      </c>
      <c r="D124">
        <v>2</v>
      </c>
      <c r="E124">
        <v>27.4</v>
      </c>
      <c r="F124">
        <v>27.4</v>
      </c>
      <c r="G124">
        <v>0</v>
      </c>
      <c r="H124">
        <v>1</v>
      </c>
      <c r="I124" t="s">
        <v>51</v>
      </c>
      <c r="J124" t="s">
        <v>51</v>
      </c>
      <c r="K124">
        <v>0</v>
      </c>
    </row>
    <row r="125" spans="1:11" x14ac:dyDescent="0.2">
      <c r="A125" t="s">
        <v>478</v>
      </c>
      <c r="B125">
        <v>1</v>
      </c>
      <c r="C125" t="s">
        <v>6</v>
      </c>
      <c r="D125">
        <v>1</v>
      </c>
      <c r="E125">
        <v>23.2</v>
      </c>
      <c r="F125">
        <v>23.2</v>
      </c>
      <c r="G125">
        <v>0</v>
      </c>
      <c r="H125">
        <v>1</v>
      </c>
      <c r="I125" t="s">
        <v>47</v>
      </c>
      <c r="J125" t="s">
        <v>47</v>
      </c>
      <c r="K125">
        <v>0</v>
      </c>
    </row>
    <row r="126" spans="1:11" x14ac:dyDescent="0.2">
      <c r="A126" t="s">
        <v>478</v>
      </c>
      <c r="B126">
        <v>1</v>
      </c>
      <c r="C126" t="s">
        <v>6</v>
      </c>
      <c r="D126">
        <v>2</v>
      </c>
      <c r="E126">
        <v>6.5</v>
      </c>
      <c r="F126">
        <v>6.5</v>
      </c>
      <c r="G126">
        <v>0</v>
      </c>
      <c r="H126">
        <v>1</v>
      </c>
      <c r="I126" t="s">
        <v>234</v>
      </c>
      <c r="J126" t="s">
        <v>234</v>
      </c>
      <c r="K126">
        <v>0</v>
      </c>
    </row>
    <row r="127" spans="1:11" x14ac:dyDescent="0.2">
      <c r="A127" t="s">
        <v>478</v>
      </c>
      <c r="B127">
        <v>1</v>
      </c>
      <c r="C127" t="s">
        <v>9</v>
      </c>
      <c r="D127">
        <v>1</v>
      </c>
      <c r="E127">
        <v>20</v>
      </c>
      <c r="F127">
        <v>20</v>
      </c>
      <c r="G127">
        <v>0</v>
      </c>
      <c r="H127">
        <v>1</v>
      </c>
      <c r="I127" t="s">
        <v>230</v>
      </c>
      <c r="J127" t="s">
        <v>230</v>
      </c>
      <c r="K127">
        <v>0</v>
      </c>
    </row>
    <row r="128" spans="1:11" x14ac:dyDescent="0.2">
      <c r="A128" t="s">
        <v>478</v>
      </c>
      <c r="B128">
        <v>1</v>
      </c>
      <c r="C128" t="s">
        <v>11</v>
      </c>
      <c r="D128">
        <v>1</v>
      </c>
      <c r="E128">
        <v>6.9</v>
      </c>
      <c r="F128">
        <v>3.7</v>
      </c>
      <c r="G128">
        <v>3.2</v>
      </c>
      <c r="H128">
        <v>1</v>
      </c>
      <c r="I128" t="s">
        <v>225</v>
      </c>
      <c r="J128" t="s">
        <v>10</v>
      </c>
      <c r="K128">
        <v>0</v>
      </c>
    </row>
    <row r="129" spans="1:11" x14ac:dyDescent="0.2">
      <c r="A129" t="s">
        <v>478</v>
      </c>
      <c r="B129">
        <v>1</v>
      </c>
      <c r="C129" t="s">
        <v>11</v>
      </c>
      <c r="D129">
        <v>2</v>
      </c>
      <c r="E129">
        <v>4.7</v>
      </c>
      <c r="F129">
        <v>2.2999999999999998</v>
      </c>
      <c r="G129">
        <v>2.4</v>
      </c>
      <c r="H129">
        <v>1</v>
      </c>
      <c r="I129" t="s">
        <v>480</v>
      </c>
      <c r="J129" t="s">
        <v>252</v>
      </c>
      <c r="K129">
        <v>0</v>
      </c>
    </row>
    <row r="130" spans="1:11" x14ac:dyDescent="0.2">
      <c r="A130" t="s">
        <v>478</v>
      </c>
      <c r="B130">
        <v>1</v>
      </c>
      <c r="C130" t="s">
        <v>12</v>
      </c>
      <c r="D130">
        <v>1</v>
      </c>
      <c r="E130">
        <v>7</v>
      </c>
      <c r="F130">
        <v>7</v>
      </c>
      <c r="G130">
        <v>0</v>
      </c>
      <c r="H130">
        <v>1</v>
      </c>
      <c r="I130" t="s">
        <v>151</v>
      </c>
      <c r="J130" t="s">
        <v>151</v>
      </c>
      <c r="K130">
        <v>0</v>
      </c>
    </row>
    <row r="131" spans="1:11" x14ac:dyDescent="0.2">
      <c r="A131" t="s">
        <v>478</v>
      </c>
      <c r="B131">
        <v>1</v>
      </c>
      <c r="C131" t="s">
        <v>13</v>
      </c>
      <c r="D131">
        <v>1</v>
      </c>
      <c r="E131">
        <v>10</v>
      </c>
      <c r="F131">
        <v>10</v>
      </c>
      <c r="G131">
        <v>0</v>
      </c>
      <c r="H131">
        <v>1</v>
      </c>
      <c r="I131" t="s">
        <v>452</v>
      </c>
      <c r="J131" t="s">
        <v>452</v>
      </c>
      <c r="K131">
        <v>0</v>
      </c>
    </row>
    <row r="132" spans="1:11" x14ac:dyDescent="0.2">
      <c r="A132" t="s">
        <v>478</v>
      </c>
      <c r="B132">
        <v>2</v>
      </c>
      <c r="C132" t="s">
        <v>4</v>
      </c>
      <c r="D132">
        <v>1</v>
      </c>
      <c r="E132">
        <v>14.12</v>
      </c>
      <c r="F132">
        <v>14.12</v>
      </c>
      <c r="G132">
        <v>0</v>
      </c>
      <c r="H132">
        <v>1</v>
      </c>
      <c r="I132" t="s">
        <v>260</v>
      </c>
      <c r="J132" t="s">
        <v>260</v>
      </c>
      <c r="K132">
        <v>0</v>
      </c>
    </row>
    <row r="133" spans="1:11" x14ac:dyDescent="0.2">
      <c r="A133" t="s">
        <v>478</v>
      </c>
      <c r="B133">
        <v>2</v>
      </c>
      <c r="C133" t="s">
        <v>5</v>
      </c>
      <c r="D133">
        <v>1</v>
      </c>
      <c r="E133">
        <v>20.3</v>
      </c>
      <c r="F133">
        <v>20.3</v>
      </c>
      <c r="G133">
        <v>0</v>
      </c>
      <c r="H133">
        <v>1</v>
      </c>
      <c r="I133" t="s">
        <v>196</v>
      </c>
      <c r="J133" t="s">
        <v>196</v>
      </c>
      <c r="K133">
        <v>0</v>
      </c>
    </row>
    <row r="134" spans="1:11" x14ac:dyDescent="0.2">
      <c r="A134" t="s">
        <v>478</v>
      </c>
      <c r="B134">
        <v>2</v>
      </c>
      <c r="C134" t="s">
        <v>5</v>
      </c>
      <c r="D134">
        <v>2</v>
      </c>
      <c r="E134">
        <v>7.6</v>
      </c>
      <c r="F134">
        <v>3.4</v>
      </c>
      <c r="G134">
        <v>4.2</v>
      </c>
      <c r="H134">
        <v>1</v>
      </c>
      <c r="I134" t="s">
        <v>51</v>
      </c>
      <c r="J134" t="s">
        <v>225</v>
      </c>
      <c r="K134">
        <v>0</v>
      </c>
    </row>
    <row r="135" spans="1:11" x14ac:dyDescent="0.2">
      <c r="A135" t="s">
        <v>478</v>
      </c>
      <c r="B135">
        <v>2</v>
      </c>
      <c r="C135" t="s">
        <v>6</v>
      </c>
      <c r="D135">
        <v>1</v>
      </c>
      <c r="E135">
        <v>18.600000000000001</v>
      </c>
      <c r="F135">
        <v>18.600000000000001</v>
      </c>
      <c r="G135">
        <v>0</v>
      </c>
      <c r="H135">
        <v>1</v>
      </c>
      <c r="I135" t="s">
        <v>47</v>
      </c>
      <c r="J135" t="s">
        <v>47</v>
      </c>
      <c r="K135">
        <v>0</v>
      </c>
    </row>
    <row r="136" spans="1:11" x14ac:dyDescent="0.2">
      <c r="A136" t="s">
        <v>478</v>
      </c>
      <c r="B136">
        <v>2</v>
      </c>
      <c r="C136" t="s">
        <v>6</v>
      </c>
      <c r="D136">
        <v>2</v>
      </c>
      <c r="E136">
        <v>10.7</v>
      </c>
      <c r="F136">
        <v>4.3</v>
      </c>
      <c r="G136">
        <v>6.4</v>
      </c>
      <c r="H136">
        <v>1</v>
      </c>
      <c r="I136" t="s">
        <v>234</v>
      </c>
      <c r="J136" t="s">
        <v>252</v>
      </c>
      <c r="K136">
        <v>0</v>
      </c>
    </row>
    <row r="137" spans="1:11" x14ac:dyDescent="0.2">
      <c r="A137" t="s">
        <v>478</v>
      </c>
      <c r="B137">
        <v>2</v>
      </c>
      <c r="C137" t="s">
        <v>9</v>
      </c>
      <c r="D137">
        <v>1</v>
      </c>
      <c r="E137">
        <v>14.1</v>
      </c>
      <c r="F137">
        <v>14.1</v>
      </c>
      <c r="G137">
        <v>0</v>
      </c>
      <c r="H137">
        <v>1</v>
      </c>
      <c r="I137" t="s">
        <v>230</v>
      </c>
      <c r="J137" t="s">
        <v>230</v>
      </c>
      <c r="K137">
        <v>0</v>
      </c>
    </row>
    <row r="138" spans="1:11" x14ac:dyDescent="0.2">
      <c r="A138" t="s">
        <v>478</v>
      </c>
      <c r="B138">
        <v>2</v>
      </c>
      <c r="C138" t="s">
        <v>11</v>
      </c>
      <c r="D138">
        <v>1</v>
      </c>
      <c r="E138">
        <v>7.9</v>
      </c>
      <c r="F138">
        <v>7.6</v>
      </c>
      <c r="G138">
        <v>0.30000000000000099</v>
      </c>
      <c r="H138">
        <v>1</v>
      </c>
      <c r="I138" t="s">
        <v>225</v>
      </c>
      <c r="J138" t="s">
        <v>10</v>
      </c>
      <c r="K138">
        <v>0</v>
      </c>
    </row>
    <row r="139" spans="1:11" x14ac:dyDescent="0.2">
      <c r="A139" t="s">
        <v>478</v>
      </c>
      <c r="B139">
        <v>2</v>
      </c>
      <c r="C139" t="s">
        <v>11</v>
      </c>
      <c r="D139">
        <v>2</v>
      </c>
      <c r="E139">
        <v>4.3</v>
      </c>
      <c r="F139">
        <v>3.1</v>
      </c>
      <c r="G139">
        <v>1.2</v>
      </c>
      <c r="H139">
        <v>1</v>
      </c>
      <c r="I139" t="s">
        <v>191</v>
      </c>
      <c r="J139" t="s">
        <v>234</v>
      </c>
      <c r="K139">
        <v>0</v>
      </c>
    </row>
    <row r="140" spans="1:11" x14ac:dyDescent="0.2">
      <c r="A140" t="s">
        <v>478</v>
      </c>
      <c r="B140">
        <v>2</v>
      </c>
      <c r="C140" t="s">
        <v>12</v>
      </c>
      <c r="D140">
        <v>1</v>
      </c>
      <c r="E140">
        <v>20</v>
      </c>
      <c r="F140">
        <v>20</v>
      </c>
      <c r="G140">
        <v>0</v>
      </c>
      <c r="H140">
        <v>1</v>
      </c>
      <c r="I140" t="s">
        <v>151</v>
      </c>
      <c r="J140" t="s">
        <v>151</v>
      </c>
      <c r="K140">
        <v>0</v>
      </c>
    </row>
    <row r="141" spans="1:11" x14ac:dyDescent="0.2">
      <c r="A141" t="s">
        <v>478</v>
      </c>
      <c r="B141">
        <v>2</v>
      </c>
      <c r="C141" t="s">
        <v>13</v>
      </c>
      <c r="D141">
        <v>1</v>
      </c>
      <c r="E141">
        <v>5</v>
      </c>
      <c r="F141">
        <v>5</v>
      </c>
      <c r="G141">
        <v>0</v>
      </c>
      <c r="H141">
        <v>1</v>
      </c>
      <c r="I141" t="s">
        <v>452</v>
      </c>
      <c r="J141" t="s">
        <v>452</v>
      </c>
      <c r="K141">
        <v>0</v>
      </c>
    </row>
    <row r="142" spans="1:11" x14ac:dyDescent="0.2">
      <c r="A142" t="s">
        <v>478</v>
      </c>
      <c r="B142">
        <v>3</v>
      </c>
      <c r="C142" t="s">
        <v>4</v>
      </c>
      <c r="D142">
        <v>1</v>
      </c>
      <c r="E142">
        <v>24.14</v>
      </c>
      <c r="F142">
        <v>13.64</v>
      </c>
      <c r="G142">
        <v>10.5</v>
      </c>
      <c r="H142">
        <v>0</v>
      </c>
      <c r="I142" t="s">
        <v>220</v>
      </c>
      <c r="J142" t="s">
        <v>260</v>
      </c>
      <c r="K142">
        <v>13.64</v>
      </c>
    </row>
    <row r="143" spans="1:11" x14ac:dyDescent="0.2">
      <c r="A143" t="s">
        <v>478</v>
      </c>
      <c r="B143">
        <v>3</v>
      </c>
      <c r="C143" t="s">
        <v>5</v>
      </c>
      <c r="D143">
        <v>1</v>
      </c>
      <c r="E143">
        <v>37.9</v>
      </c>
      <c r="F143">
        <v>37.9</v>
      </c>
      <c r="G143">
        <v>0</v>
      </c>
      <c r="H143">
        <v>1</v>
      </c>
      <c r="I143" t="s">
        <v>196</v>
      </c>
      <c r="J143" t="s">
        <v>196</v>
      </c>
      <c r="K143">
        <v>0</v>
      </c>
    </row>
    <row r="144" spans="1:11" x14ac:dyDescent="0.2">
      <c r="A144" t="s">
        <v>478</v>
      </c>
      <c r="B144">
        <v>3</v>
      </c>
      <c r="C144" t="s">
        <v>5</v>
      </c>
      <c r="D144">
        <v>2</v>
      </c>
      <c r="E144">
        <v>5.8</v>
      </c>
      <c r="F144">
        <v>5.8</v>
      </c>
      <c r="G144">
        <v>0</v>
      </c>
      <c r="H144">
        <v>1</v>
      </c>
      <c r="I144" t="s">
        <v>51</v>
      </c>
      <c r="J144" t="s">
        <v>51</v>
      </c>
      <c r="K144">
        <v>0</v>
      </c>
    </row>
    <row r="145" spans="1:11" x14ac:dyDescent="0.2">
      <c r="A145" t="s">
        <v>478</v>
      </c>
      <c r="B145">
        <v>3</v>
      </c>
      <c r="C145" t="s">
        <v>6</v>
      </c>
      <c r="D145">
        <v>1</v>
      </c>
      <c r="E145">
        <v>17.5</v>
      </c>
      <c r="F145">
        <v>15.2</v>
      </c>
      <c r="G145">
        <v>2.2999999999999998</v>
      </c>
      <c r="H145">
        <v>1</v>
      </c>
      <c r="I145" t="s">
        <v>47</v>
      </c>
      <c r="J145" t="s">
        <v>191</v>
      </c>
      <c r="K145">
        <v>0</v>
      </c>
    </row>
    <row r="146" spans="1:11" x14ac:dyDescent="0.2">
      <c r="A146" t="s">
        <v>478</v>
      </c>
      <c r="B146">
        <v>3</v>
      </c>
      <c r="C146" t="s">
        <v>6</v>
      </c>
      <c r="D146">
        <v>2</v>
      </c>
      <c r="E146">
        <v>15.2</v>
      </c>
      <c r="F146">
        <v>6.9</v>
      </c>
      <c r="G146">
        <v>8.3000000000000007</v>
      </c>
      <c r="H146">
        <v>1</v>
      </c>
      <c r="I146" t="s">
        <v>234</v>
      </c>
      <c r="J146" t="s">
        <v>47</v>
      </c>
      <c r="K146">
        <v>0</v>
      </c>
    </row>
    <row r="147" spans="1:11" x14ac:dyDescent="0.2">
      <c r="A147" t="s">
        <v>478</v>
      </c>
      <c r="B147">
        <v>3</v>
      </c>
      <c r="C147" t="s">
        <v>9</v>
      </c>
      <c r="D147">
        <v>1</v>
      </c>
      <c r="E147">
        <v>12</v>
      </c>
      <c r="F147">
        <v>12</v>
      </c>
      <c r="G147">
        <v>0</v>
      </c>
      <c r="H147">
        <v>1</v>
      </c>
      <c r="I147" t="s">
        <v>230</v>
      </c>
      <c r="J147" t="s">
        <v>230</v>
      </c>
      <c r="K147">
        <v>0</v>
      </c>
    </row>
    <row r="148" spans="1:11" x14ac:dyDescent="0.2">
      <c r="A148" t="s">
        <v>478</v>
      </c>
      <c r="B148">
        <v>3</v>
      </c>
      <c r="C148" t="s">
        <v>11</v>
      </c>
      <c r="D148">
        <v>1</v>
      </c>
      <c r="E148">
        <v>10.199999999999999</v>
      </c>
      <c r="F148">
        <v>10.199999999999999</v>
      </c>
      <c r="G148">
        <v>0</v>
      </c>
      <c r="H148">
        <v>1</v>
      </c>
      <c r="I148" t="s">
        <v>252</v>
      </c>
      <c r="J148" t="s">
        <v>252</v>
      </c>
      <c r="K148">
        <v>0</v>
      </c>
    </row>
    <row r="149" spans="1:11" x14ac:dyDescent="0.2">
      <c r="A149" t="s">
        <v>478</v>
      </c>
      <c r="B149">
        <v>3</v>
      </c>
      <c r="C149" t="s">
        <v>11</v>
      </c>
      <c r="D149">
        <v>2</v>
      </c>
      <c r="E149">
        <v>6.9</v>
      </c>
      <c r="F149">
        <v>2.8</v>
      </c>
      <c r="G149">
        <v>4.0999999999999996</v>
      </c>
      <c r="H149">
        <v>1</v>
      </c>
      <c r="I149" t="s">
        <v>225</v>
      </c>
      <c r="J149" t="s">
        <v>234</v>
      </c>
      <c r="K149">
        <v>0</v>
      </c>
    </row>
    <row r="150" spans="1:11" x14ac:dyDescent="0.2">
      <c r="A150" t="s">
        <v>478</v>
      </c>
      <c r="B150">
        <v>3</v>
      </c>
      <c r="C150" t="s">
        <v>12</v>
      </c>
      <c r="D150">
        <v>1</v>
      </c>
      <c r="E150">
        <v>0</v>
      </c>
      <c r="F150">
        <v>0</v>
      </c>
      <c r="G150">
        <v>0</v>
      </c>
      <c r="H150">
        <v>1</v>
      </c>
      <c r="I150" t="s">
        <v>151</v>
      </c>
      <c r="J150" t="s">
        <v>151</v>
      </c>
      <c r="K150">
        <v>0</v>
      </c>
    </row>
    <row r="151" spans="1:11" x14ac:dyDescent="0.2">
      <c r="A151" t="s">
        <v>478</v>
      </c>
      <c r="B151">
        <v>3</v>
      </c>
      <c r="C151" t="s">
        <v>13</v>
      </c>
      <c r="D151">
        <v>1</v>
      </c>
      <c r="E151">
        <v>8</v>
      </c>
      <c r="F151">
        <v>8</v>
      </c>
      <c r="G151">
        <v>0</v>
      </c>
      <c r="H151">
        <v>1</v>
      </c>
      <c r="I151" t="s">
        <v>452</v>
      </c>
      <c r="J151" t="s">
        <v>452</v>
      </c>
      <c r="K151">
        <v>0</v>
      </c>
    </row>
    <row r="152" spans="1:11" x14ac:dyDescent="0.2">
      <c r="A152" t="s">
        <v>309</v>
      </c>
      <c r="B152">
        <v>1</v>
      </c>
      <c r="C152" t="s">
        <v>4</v>
      </c>
      <c r="D152">
        <v>1</v>
      </c>
      <c r="E152">
        <v>26.6</v>
      </c>
      <c r="F152">
        <v>26.6</v>
      </c>
      <c r="G152">
        <v>0</v>
      </c>
      <c r="H152">
        <v>1</v>
      </c>
      <c r="I152" t="s">
        <v>345</v>
      </c>
      <c r="J152" t="s">
        <v>345</v>
      </c>
      <c r="K152">
        <v>0</v>
      </c>
    </row>
    <row r="153" spans="1:11" x14ac:dyDescent="0.2">
      <c r="A153" t="s">
        <v>309</v>
      </c>
      <c r="B153">
        <v>1</v>
      </c>
      <c r="C153" t="s">
        <v>5</v>
      </c>
      <c r="D153">
        <v>1</v>
      </c>
      <c r="E153">
        <v>29.7</v>
      </c>
      <c r="F153">
        <v>29.7</v>
      </c>
      <c r="G153">
        <v>0</v>
      </c>
      <c r="H153">
        <v>1</v>
      </c>
      <c r="I153" t="s">
        <v>310</v>
      </c>
      <c r="J153" t="s">
        <v>310</v>
      </c>
      <c r="K153">
        <v>0</v>
      </c>
    </row>
    <row r="154" spans="1:11" x14ac:dyDescent="0.2">
      <c r="A154" t="s">
        <v>309</v>
      </c>
      <c r="B154">
        <v>1</v>
      </c>
      <c r="C154" t="s">
        <v>5</v>
      </c>
      <c r="D154">
        <v>2</v>
      </c>
      <c r="E154">
        <v>10</v>
      </c>
      <c r="F154">
        <v>10</v>
      </c>
      <c r="G154">
        <v>0</v>
      </c>
      <c r="H154">
        <v>1</v>
      </c>
      <c r="I154" t="s">
        <v>318</v>
      </c>
      <c r="J154" t="s">
        <v>318</v>
      </c>
      <c r="K154">
        <v>0</v>
      </c>
    </row>
    <row r="155" spans="1:11" x14ac:dyDescent="0.2">
      <c r="A155" t="s">
        <v>309</v>
      </c>
      <c r="B155">
        <v>1</v>
      </c>
      <c r="C155" t="s">
        <v>6</v>
      </c>
      <c r="D155">
        <v>1</v>
      </c>
      <c r="E155">
        <v>22.2</v>
      </c>
      <c r="F155">
        <v>22.2</v>
      </c>
      <c r="G155">
        <v>0</v>
      </c>
      <c r="H155">
        <v>1</v>
      </c>
      <c r="I155" t="s">
        <v>187</v>
      </c>
      <c r="J155" t="s">
        <v>187</v>
      </c>
      <c r="K155">
        <v>0</v>
      </c>
    </row>
    <row r="156" spans="1:11" x14ac:dyDescent="0.2">
      <c r="A156" t="s">
        <v>309</v>
      </c>
      <c r="B156">
        <v>1</v>
      </c>
      <c r="C156" t="s">
        <v>6</v>
      </c>
      <c r="D156">
        <v>2</v>
      </c>
      <c r="E156">
        <v>13.9</v>
      </c>
      <c r="F156">
        <v>10.9</v>
      </c>
      <c r="G156">
        <v>3</v>
      </c>
      <c r="H156">
        <v>1</v>
      </c>
      <c r="I156" t="s">
        <v>20</v>
      </c>
      <c r="J156" t="s">
        <v>114</v>
      </c>
      <c r="K156">
        <v>0</v>
      </c>
    </row>
    <row r="157" spans="1:11" x14ac:dyDescent="0.2">
      <c r="A157" t="s">
        <v>309</v>
      </c>
      <c r="B157">
        <v>1</v>
      </c>
      <c r="C157" t="s">
        <v>9</v>
      </c>
      <c r="D157">
        <v>1</v>
      </c>
      <c r="E157">
        <v>8.8000000000000007</v>
      </c>
      <c r="F157">
        <v>8.8000000000000007</v>
      </c>
      <c r="G157">
        <v>0</v>
      </c>
      <c r="H157">
        <v>1</v>
      </c>
      <c r="I157" t="s">
        <v>322</v>
      </c>
      <c r="J157" t="s">
        <v>322</v>
      </c>
      <c r="K157">
        <v>0</v>
      </c>
    </row>
    <row r="158" spans="1:11" x14ac:dyDescent="0.2">
      <c r="A158" t="s">
        <v>309</v>
      </c>
      <c r="B158">
        <v>1</v>
      </c>
      <c r="C158" t="s">
        <v>11</v>
      </c>
      <c r="D158">
        <v>1</v>
      </c>
      <c r="E158">
        <v>10.9</v>
      </c>
      <c r="F158">
        <v>13.9</v>
      </c>
      <c r="G158">
        <v>-3</v>
      </c>
      <c r="H158">
        <v>1</v>
      </c>
      <c r="I158" t="s">
        <v>114</v>
      </c>
      <c r="J158" t="s">
        <v>20</v>
      </c>
      <c r="K158">
        <v>0</v>
      </c>
    </row>
    <row r="159" spans="1:11" x14ac:dyDescent="0.2">
      <c r="A159" t="s">
        <v>309</v>
      </c>
      <c r="B159">
        <v>1</v>
      </c>
      <c r="C159" t="s">
        <v>11</v>
      </c>
      <c r="D159">
        <v>2</v>
      </c>
      <c r="E159">
        <v>7.4</v>
      </c>
      <c r="F159">
        <v>7.4</v>
      </c>
      <c r="G159">
        <v>0</v>
      </c>
      <c r="H159">
        <v>1</v>
      </c>
      <c r="I159" t="s">
        <v>106</v>
      </c>
      <c r="J159" t="s">
        <v>106</v>
      </c>
      <c r="K159">
        <v>0</v>
      </c>
    </row>
    <row r="160" spans="1:11" x14ac:dyDescent="0.2">
      <c r="A160" t="s">
        <v>309</v>
      </c>
      <c r="B160">
        <v>1</v>
      </c>
      <c r="C160" t="s">
        <v>12</v>
      </c>
      <c r="D160">
        <v>1</v>
      </c>
      <c r="E160">
        <v>8</v>
      </c>
      <c r="F160">
        <v>8</v>
      </c>
      <c r="G160">
        <v>0</v>
      </c>
      <c r="H160">
        <v>1</v>
      </c>
      <c r="I160" t="s">
        <v>30</v>
      </c>
      <c r="J160" t="s">
        <v>30</v>
      </c>
      <c r="K160">
        <v>0</v>
      </c>
    </row>
    <row r="161" spans="1:11" x14ac:dyDescent="0.2">
      <c r="A161" t="s">
        <v>309</v>
      </c>
      <c r="B161">
        <v>1</v>
      </c>
      <c r="C161" t="s">
        <v>13</v>
      </c>
      <c r="D161">
        <v>1</v>
      </c>
      <c r="E161">
        <v>7</v>
      </c>
      <c r="F161">
        <v>7</v>
      </c>
      <c r="G161">
        <v>0</v>
      </c>
      <c r="H161">
        <v>1</v>
      </c>
      <c r="I161" t="s">
        <v>306</v>
      </c>
      <c r="J161" t="s">
        <v>306</v>
      </c>
      <c r="K161">
        <v>0</v>
      </c>
    </row>
    <row r="162" spans="1:11" x14ac:dyDescent="0.2">
      <c r="A162" t="s">
        <v>309</v>
      </c>
      <c r="B162">
        <v>2</v>
      </c>
      <c r="C162" t="s">
        <v>4</v>
      </c>
      <c r="D162">
        <v>1</v>
      </c>
      <c r="E162">
        <v>0.8</v>
      </c>
      <c r="F162">
        <v>0.8</v>
      </c>
      <c r="G162">
        <v>0</v>
      </c>
      <c r="H162">
        <v>1</v>
      </c>
      <c r="I162" t="s">
        <v>345</v>
      </c>
      <c r="J162" t="s">
        <v>345</v>
      </c>
      <c r="K162">
        <v>0</v>
      </c>
    </row>
    <row r="163" spans="1:11" x14ac:dyDescent="0.2">
      <c r="A163" t="s">
        <v>309</v>
      </c>
      <c r="B163">
        <v>2</v>
      </c>
      <c r="C163" t="s">
        <v>5</v>
      </c>
      <c r="D163">
        <v>1</v>
      </c>
      <c r="E163">
        <v>11.3</v>
      </c>
      <c r="F163">
        <v>10.5</v>
      </c>
      <c r="G163">
        <v>0.80000000000000104</v>
      </c>
      <c r="H163">
        <v>1</v>
      </c>
      <c r="I163" t="s">
        <v>318</v>
      </c>
      <c r="J163" t="s">
        <v>165</v>
      </c>
      <c r="K163">
        <v>0</v>
      </c>
    </row>
    <row r="164" spans="1:11" x14ac:dyDescent="0.2">
      <c r="A164" t="s">
        <v>309</v>
      </c>
      <c r="B164">
        <v>2</v>
      </c>
      <c r="C164" t="s">
        <v>5</v>
      </c>
      <c r="D164">
        <v>2</v>
      </c>
      <c r="E164">
        <v>10.5</v>
      </c>
      <c r="F164">
        <v>8.3000000000000007</v>
      </c>
      <c r="G164">
        <v>2.2000000000000002</v>
      </c>
      <c r="H164">
        <v>1</v>
      </c>
      <c r="I164" t="s">
        <v>310</v>
      </c>
      <c r="J164" t="s">
        <v>318</v>
      </c>
      <c r="K164">
        <v>0</v>
      </c>
    </row>
    <row r="165" spans="1:11" x14ac:dyDescent="0.2">
      <c r="A165" t="s">
        <v>309</v>
      </c>
      <c r="B165">
        <v>2</v>
      </c>
      <c r="C165" t="s">
        <v>6</v>
      </c>
      <c r="D165">
        <v>1</v>
      </c>
      <c r="E165">
        <v>38</v>
      </c>
      <c r="F165">
        <v>38</v>
      </c>
      <c r="G165">
        <v>0</v>
      </c>
      <c r="H165">
        <v>1</v>
      </c>
      <c r="I165" t="s">
        <v>187</v>
      </c>
      <c r="J165" t="s">
        <v>187</v>
      </c>
      <c r="K165">
        <v>0</v>
      </c>
    </row>
    <row r="166" spans="1:11" x14ac:dyDescent="0.2">
      <c r="A166" t="s">
        <v>309</v>
      </c>
      <c r="B166">
        <v>2</v>
      </c>
      <c r="C166" t="s">
        <v>6</v>
      </c>
      <c r="D166">
        <v>2</v>
      </c>
      <c r="E166">
        <v>14.2</v>
      </c>
      <c r="F166">
        <v>14.2</v>
      </c>
      <c r="G166">
        <v>0</v>
      </c>
      <c r="H166">
        <v>1</v>
      </c>
      <c r="I166" t="s">
        <v>20</v>
      </c>
      <c r="J166" t="s">
        <v>20</v>
      </c>
      <c r="K166">
        <v>0</v>
      </c>
    </row>
    <row r="167" spans="1:11" x14ac:dyDescent="0.2">
      <c r="A167" t="s">
        <v>309</v>
      </c>
      <c r="B167">
        <v>2</v>
      </c>
      <c r="C167" t="s">
        <v>9</v>
      </c>
      <c r="D167">
        <v>1</v>
      </c>
      <c r="E167">
        <v>11.4</v>
      </c>
      <c r="F167">
        <v>11.4</v>
      </c>
      <c r="G167">
        <v>0</v>
      </c>
      <c r="H167">
        <v>1</v>
      </c>
      <c r="I167" t="s">
        <v>322</v>
      </c>
      <c r="J167" t="s">
        <v>322</v>
      </c>
      <c r="K167">
        <v>0</v>
      </c>
    </row>
    <row r="168" spans="1:11" x14ac:dyDescent="0.2">
      <c r="A168" t="s">
        <v>309</v>
      </c>
      <c r="B168">
        <v>2</v>
      </c>
      <c r="C168" t="s">
        <v>11</v>
      </c>
      <c r="D168">
        <v>1</v>
      </c>
      <c r="E168">
        <v>12</v>
      </c>
      <c r="F168">
        <v>12</v>
      </c>
      <c r="G168">
        <v>0</v>
      </c>
      <c r="H168">
        <v>1</v>
      </c>
      <c r="I168" t="s">
        <v>106</v>
      </c>
      <c r="J168" t="s">
        <v>106</v>
      </c>
      <c r="K168">
        <v>0</v>
      </c>
    </row>
    <row r="169" spans="1:11" x14ac:dyDescent="0.2">
      <c r="A169" t="s">
        <v>309</v>
      </c>
      <c r="B169">
        <v>2</v>
      </c>
      <c r="C169" t="s">
        <v>11</v>
      </c>
      <c r="D169">
        <v>2</v>
      </c>
      <c r="E169">
        <v>8.3000000000000007</v>
      </c>
      <c r="F169">
        <v>6.9</v>
      </c>
      <c r="G169">
        <v>1.4</v>
      </c>
      <c r="H169">
        <v>1</v>
      </c>
      <c r="I169" t="s">
        <v>114</v>
      </c>
      <c r="J169" t="s">
        <v>310</v>
      </c>
      <c r="K169">
        <v>0</v>
      </c>
    </row>
    <row r="170" spans="1:11" x14ac:dyDescent="0.2">
      <c r="A170" t="s">
        <v>309</v>
      </c>
      <c r="B170">
        <v>2</v>
      </c>
      <c r="C170" t="s">
        <v>12</v>
      </c>
      <c r="D170">
        <v>1</v>
      </c>
      <c r="E170">
        <v>4</v>
      </c>
      <c r="F170">
        <v>4</v>
      </c>
      <c r="G170">
        <v>0</v>
      </c>
      <c r="H170">
        <v>1</v>
      </c>
      <c r="I170" t="s">
        <v>30</v>
      </c>
      <c r="J170" t="s">
        <v>30</v>
      </c>
      <c r="K170">
        <v>0</v>
      </c>
    </row>
    <row r="171" spans="1:11" x14ac:dyDescent="0.2">
      <c r="A171" t="s">
        <v>309</v>
      </c>
      <c r="B171">
        <v>2</v>
      </c>
      <c r="C171" t="s">
        <v>13</v>
      </c>
      <c r="D171">
        <v>1</v>
      </c>
      <c r="E171">
        <v>16</v>
      </c>
      <c r="F171">
        <v>7</v>
      </c>
      <c r="G171">
        <v>9</v>
      </c>
      <c r="H171">
        <v>1</v>
      </c>
      <c r="I171" t="s">
        <v>306</v>
      </c>
      <c r="J171" t="s">
        <v>14</v>
      </c>
      <c r="K171">
        <v>0</v>
      </c>
    </row>
    <row r="172" spans="1:11" x14ac:dyDescent="0.2">
      <c r="A172" t="s">
        <v>309</v>
      </c>
      <c r="B172">
        <v>3</v>
      </c>
      <c r="C172" t="s">
        <v>4</v>
      </c>
      <c r="D172">
        <v>1</v>
      </c>
      <c r="E172">
        <v>22.22</v>
      </c>
      <c r="F172">
        <v>22.22</v>
      </c>
      <c r="G172">
        <v>0</v>
      </c>
      <c r="H172">
        <v>0</v>
      </c>
      <c r="I172" t="s">
        <v>33</v>
      </c>
      <c r="J172" t="s">
        <v>33</v>
      </c>
      <c r="K172">
        <v>22.22</v>
      </c>
    </row>
    <row r="173" spans="1:11" x14ac:dyDescent="0.2">
      <c r="A173" t="s">
        <v>309</v>
      </c>
      <c r="B173">
        <v>3</v>
      </c>
      <c r="C173" t="s">
        <v>5</v>
      </c>
      <c r="D173">
        <v>1</v>
      </c>
      <c r="E173">
        <v>11.7</v>
      </c>
      <c r="F173">
        <v>11.7</v>
      </c>
      <c r="G173">
        <v>0</v>
      </c>
      <c r="H173">
        <v>1</v>
      </c>
      <c r="I173" t="s">
        <v>318</v>
      </c>
      <c r="J173" t="s">
        <v>318</v>
      </c>
      <c r="K173">
        <v>0</v>
      </c>
    </row>
    <row r="174" spans="1:11" x14ac:dyDescent="0.2">
      <c r="A174" t="s">
        <v>309</v>
      </c>
      <c r="B174">
        <v>3</v>
      </c>
      <c r="C174" t="s">
        <v>5</v>
      </c>
      <c r="D174">
        <v>2</v>
      </c>
      <c r="E174">
        <v>10.8</v>
      </c>
      <c r="F174">
        <v>10.8</v>
      </c>
      <c r="G174">
        <v>0</v>
      </c>
      <c r="H174">
        <v>1</v>
      </c>
      <c r="I174" t="s">
        <v>310</v>
      </c>
      <c r="J174" t="s">
        <v>310</v>
      </c>
      <c r="K174">
        <v>0</v>
      </c>
    </row>
    <row r="175" spans="1:11" x14ac:dyDescent="0.2">
      <c r="A175" t="s">
        <v>309</v>
      </c>
      <c r="B175">
        <v>3</v>
      </c>
      <c r="C175" t="s">
        <v>6</v>
      </c>
      <c r="D175">
        <v>1</v>
      </c>
      <c r="E175">
        <v>30.36</v>
      </c>
      <c r="F175">
        <v>30.36</v>
      </c>
      <c r="G175">
        <v>0</v>
      </c>
      <c r="H175">
        <v>1</v>
      </c>
      <c r="I175" t="s">
        <v>187</v>
      </c>
      <c r="J175" t="s">
        <v>187</v>
      </c>
      <c r="K175">
        <v>0</v>
      </c>
    </row>
    <row r="176" spans="1:11" x14ac:dyDescent="0.2">
      <c r="A176" t="s">
        <v>309</v>
      </c>
      <c r="B176">
        <v>3</v>
      </c>
      <c r="C176" t="s">
        <v>6</v>
      </c>
      <c r="D176">
        <v>2</v>
      </c>
      <c r="E176">
        <v>21.7</v>
      </c>
      <c r="F176">
        <v>21.7</v>
      </c>
      <c r="G176">
        <v>0</v>
      </c>
      <c r="H176">
        <v>1</v>
      </c>
      <c r="I176" t="s">
        <v>20</v>
      </c>
      <c r="J176" t="s">
        <v>20</v>
      </c>
      <c r="K176">
        <v>0</v>
      </c>
    </row>
    <row r="177" spans="1:11" x14ac:dyDescent="0.2">
      <c r="A177" t="s">
        <v>309</v>
      </c>
      <c r="B177">
        <v>3</v>
      </c>
      <c r="C177" t="s">
        <v>9</v>
      </c>
      <c r="D177">
        <v>1</v>
      </c>
      <c r="E177">
        <v>10.199999999999999</v>
      </c>
      <c r="F177">
        <v>10.199999999999999</v>
      </c>
      <c r="G177">
        <v>0</v>
      </c>
      <c r="H177">
        <v>1</v>
      </c>
      <c r="I177" t="s">
        <v>322</v>
      </c>
      <c r="J177" t="s">
        <v>322</v>
      </c>
      <c r="K177">
        <v>0</v>
      </c>
    </row>
    <row r="178" spans="1:11" x14ac:dyDescent="0.2">
      <c r="A178" t="s">
        <v>309</v>
      </c>
      <c r="B178">
        <v>3</v>
      </c>
      <c r="C178" t="s">
        <v>11</v>
      </c>
      <c r="D178">
        <v>1</v>
      </c>
      <c r="E178">
        <v>18</v>
      </c>
      <c r="F178">
        <v>18</v>
      </c>
      <c r="G178">
        <v>0</v>
      </c>
      <c r="H178">
        <v>1</v>
      </c>
      <c r="I178" t="s">
        <v>106</v>
      </c>
      <c r="J178" t="s">
        <v>106</v>
      </c>
      <c r="K178">
        <v>0</v>
      </c>
    </row>
    <row r="179" spans="1:11" x14ac:dyDescent="0.2">
      <c r="A179" t="s">
        <v>309</v>
      </c>
      <c r="B179">
        <v>3</v>
      </c>
      <c r="C179" t="s">
        <v>11</v>
      </c>
      <c r="D179">
        <v>2</v>
      </c>
      <c r="E179">
        <v>10.9</v>
      </c>
      <c r="F179">
        <v>10.6</v>
      </c>
      <c r="G179">
        <v>0.30000000000000099</v>
      </c>
      <c r="H179">
        <v>1</v>
      </c>
      <c r="I179" t="s">
        <v>165</v>
      </c>
      <c r="J179" t="s">
        <v>114</v>
      </c>
      <c r="K179">
        <v>0</v>
      </c>
    </row>
    <row r="180" spans="1:11" x14ac:dyDescent="0.2">
      <c r="A180" t="s">
        <v>309</v>
      </c>
      <c r="B180">
        <v>3</v>
      </c>
      <c r="C180" t="s">
        <v>12</v>
      </c>
      <c r="D180">
        <v>1</v>
      </c>
      <c r="E180">
        <v>7</v>
      </c>
      <c r="F180">
        <v>7</v>
      </c>
      <c r="G180">
        <v>0</v>
      </c>
      <c r="H180">
        <v>1</v>
      </c>
      <c r="I180" t="s">
        <v>30</v>
      </c>
      <c r="J180" t="s">
        <v>30</v>
      </c>
      <c r="K180">
        <v>0</v>
      </c>
    </row>
    <row r="181" spans="1:11" x14ac:dyDescent="0.2">
      <c r="A181" t="s">
        <v>309</v>
      </c>
      <c r="B181">
        <v>3</v>
      </c>
      <c r="C181" t="s">
        <v>13</v>
      </c>
      <c r="D181">
        <v>1</v>
      </c>
      <c r="E181">
        <v>9</v>
      </c>
      <c r="F181">
        <v>9</v>
      </c>
      <c r="G181">
        <v>0</v>
      </c>
      <c r="H181">
        <v>1</v>
      </c>
      <c r="I181" t="s">
        <v>306</v>
      </c>
      <c r="J181" t="s">
        <v>306</v>
      </c>
      <c r="K181">
        <v>0</v>
      </c>
    </row>
    <row r="182" spans="1:11" x14ac:dyDescent="0.2">
      <c r="A182" t="s">
        <v>483</v>
      </c>
      <c r="B182">
        <v>1</v>
      </c>
      <c r="C182" t="s">
        <v>4</v>
      </c>
      <c r="D182">
        <v>1</v>
      </c>
      <c r="E182">
        <v>4.0999999999999996</v>
      </c>
      <c r="F182">
        <v>4.0999999999999996</v>
      </c>
      <c r="G182">
        <v>0</v>
      </c>
      <c r="H182">
        <v>1</v>
      </c>
      <c r="I182" t="s">
        <v>22</v>
      </c>
      <c r="J182" t="s">
        <v>22</v>
      </c>
      <c r="K182">
        <v>0</v>
      </c>
    </row>
    <row r="183" spans="1:11" x14ac:dyDescent="0.2">
      <c r="A183" t="s">
        <v>483</v>
      </c>
      <c r="B183">
        <v>1</v>
      </c>
      <c r="C183" t="s">
        <v>5</v>
      </c>
      <c r="D183">
        <v>1</v>
      </c>
      <c r="E183">
        <v>27.3</v>
      </c>
      <c r="F183">
        <v>27.3</v>
      </c>
      <c r="G183">
        <v>0</v>
      </c>
      <c r="H183">
        <v>1</v>
      </c>
      <c r="I183" t="s">
        <v>186</v>
      </c>
      <c r="J183" t="s">
        <v>186</v>
      </c>
      <c r="K183">
        <v>0</v>
      </c>
    </row>
    <row r="184" spans="1:11" x14ac:dyDescent="0.2">
      <c r="A184" t="s">
        <v>483</v>
      </c>
      <c r="B184">
        <v>1</v>
      </c>
      <c r="C184" t="s">
        <v>5</v>
      </c>
      <c r="D184">
        <v>2</v>
      </c>
      <c r="E184">
        <v>21.7</v>
      </c>
      <c r="F184">
        <v>21.7</v>
      </c>
      <c r="G184">
        <v>0</v>
      </c>
      <c r="H184">
        <v>1</v>
      </c>
      <c r="I184" t="s">
        <v>50</v>
      </c>
      <c r="J184" t="s">
        <v>50</v>
      </c>
      <c r="K184">
        <v>0</v>
      </c>
    </row>
    <row r="185" spans="1:11" x14ac:dyDescent="0.2">
      <c r="A185" t="s">
        <v>483</v>
      </c>
      <c r="B185">
        <v>1</v>
      </c>
      <c r="C185" t="s">
        <v>6</v>
      </c>
      <c r="D185">
        <v>1</v>
      </c>
      <c r="E185">
        <v>18.5</v>
      </c>
      <c r="F185">
        <v>18.5</v>
      </c>
      <c r="G185">
        <v>0</v>
      </c>
      <c r="H185">
        <v>1</v>
      </c>
      <c r="I185" t="s">
        <v>27</v>
      </c>
      <c r="J185" t="s">
        <v>27</v>
      </c>
      <c r="K185">
        <v>0</v>
      </c>
    </row>
    <row r="186" spans="1:11" x14ac:dyDescent="0.2">
      <c r="A186" t="s">
        <v>483</v>
      </c>
      <c r="B186">
        <v>1</v>
      </c>
      <c r="C186" t="s">
        <v>6</v>
      </c>
      <c r="D186">
        <v>2</v>
      </c>
      <c r="E186">
        <v>11.2</v>
      </c>
      <c r="F186">
        <v>8.8000000000000007</v>
      </c>
      <c r="G186">
        <v>2.4</v>
      </c>
      <c r="H186">
        <v>1</v>
      </c>
      <c r="I186" t="s">
        <v>314</v>
      </c>
      <c r="J186" t="s">
        <v>78</v>
      </c>
      <c r="K186">
        <v>0</v>
      </c>
    </row>
    <row r="187" spans="1:11" x14ac:dyDescent="0.2">
      <c r="A187" t="s">
        <v>483</v>
      </c>
      <c r="B187">
        <v>1</v>
      </c>
      <c r="C187" t="s">
        <v>9</v>
      </c>
      <c r="D187">
        <v>1</v>
      </c>
      <c r="E187">
        <v>7.3</v>
      </c>
      <c r="F187">
        <v>7.3</v>
      </c>
      <c r="G187">
        <v>0</v>
      </c>
      <c r="H187">
        <v>1</v>
      </c>
      <c r="I187" t="s">
        <v>204</v>
      </c>
      <c r="J187" t="s">
        <v>204</v>
      </c>
      <c r="K187">
        <v>0</v>
      </c>
    </row>
    <row r="188" spans="1:11" x14ac:dyDescent="0.2">
      <c r="A188" t="s">
        <v>483</v>
      </c>
      <c r="B188">
        <v>1</v>
      </c>
      <c r="C188" t="s">
        <v>11</v>
      </c>
      <c r="D188">
        <v>1</v>
      </c>
      <c r="E188">
        <v>8.8000000000000007</v>
      </c>
      <c r="F188">
        <v>11.2</v>
      </c>
      <c r="G188">
        <v>-2.4</v>
      </c>
      <c r="H188">
        <v>1</v>
      </c>
      <c r="I188" t="s">
        <v>78</v>
      </c>
      <c r="J188" t="s">
        <v>314</v>
      </c>
      <c r="K188">
        <v>0</v>
      </c>
    </row>
    <row r="189" spans="1:11" x14ac:dyDescent="0.2">
      <c r="A189" t="s">
        <v>483</v>
      </c>
      <c r="B189">
        <v>1</v>
      </c>
      <c r="C189" t="s">
        <v>11</v>
      </c>
      <c r="D189">
        <v>2</v>
      </c>
      <c r="E189">
        <v>4.0999999999999996</v>
      </c>
      <c r="F189">
        <v>4.0999999999999996</v>
      </c>
      <c r="G189">
        <v>0</v>
      </c>
      <c r="H189">
        <v>1</v>
      </c>
      <c r="I189" t="s">
        <v>110</v>
      </c>
      <c r="J189" t="s">
        <v>110</v>
      </c>
      <c r="K189">
        <v>0</v>
      </c>
    </row>
    <row r="190" spans="1:11" x14ac:dyDescent="0.2">
      <c r="A190" t="s">
        <v>483</v>
      </c>
      <c r="B190">
        <v>1</v>
      </c>
      <c r="C190" t="s">
        <v>12</v>
      </c>
      <c r="D190">
        <v>1</v>
      </c>
      <c r="E190">
        <v>1</v>
      </c>
      <c r="F190">
        <v>1</v>
      </c>
      <c r="G190">
        <v>0</v>
      </c>
      <c r="H190">
        <v>1</v>
      </c>
      <c r="I190" t="s">
        <v>368</v>
      </c>
      <c r="J190" t="s">
        <v>368</v>
      </c>
      <c r="K190">
        <v>0</v>
      </c>
    </row>
    <row r="191" spans="1:11" x14ac:dyDescent="0.2">
      <c r="A191" t="s">
        <v>483</v>
      </c>
      <c r="B191">
        <v>1</v>
      </c>
      <c r="C191" t="s">
        <v>13</v>
      </c>
      <c r="D191">
        <v>1</v>
      </c>
      <c r="E191">
        <v>7</v>
      </c>
      <c r="F191">
        <v>7</v>
      </c>
      <c r="G191">
        <v>0</v>
      </c>
      <c r="H191">
        <v>0</v>
      </c>
      <c r="I191" t="s">
        <v>249</v>
      </c>
      <c r="J191" t="s">
        <v>249</v>
      </c>
      <c r="K191">
        <v>7</v>
      </c>
    </row>
    <row r="192" spans="1:11" x14ac:dyDescent="0.2">
      <c r="A192" t="s">
        <v>483</v>
      </c>
      <c r="B192">
        <v>2</v>
      </c>
      <c r="C192" t="s">
        <v>4</v>
      </c>
      <c r="D192">
        <v>1</v>
      </c>
      <c r="E192">
        <v>26.98</v>
      </c>
      <c r="F192">
        <v>26.98</v>
      </c>
      <c r="G192">
        <v>0</v>
      </c>
      <c r="H192">
        <v>1</v>
      </c>
      <c r="I192" t="s">
        <v>22</v>
      </c>
      <c r="J192" t="s">
        <v>22</v>
      </c>
      <c r="K192">
        <v>0</v>
      </c>
    </row>
    <row r="193" spans="1:11" x14ac:dyDescent="0.2">
      <c r="A193" t="s">
        <v>483</v>
      </c>
      <c r="B193">
        <v>2</v>
      </c>
      <c r="C193" t="s">
        <v>5</v>
      </c>
      <c r="D193">
        <v>1</v>
      </c>
      <c r="E193">
        <v>9.6</v>
      </c>
      <c r="F193">
        <v>9.6</v>
      </c>
      <c r="G193">
        <v>0</v>
      </c>
      <c r="H193">
        <v>1</v>
      </c>
      <c r="I193" t="s">
        <v>186</v>
      </c>
      <c r="J193" t="s">
        <v>186</v>
      </c>
      <c r="K193">
        <v>0</v>
      </c>
    </row>
    <row r="194" spans="1:11" x14ac:dyDescent="0.2">
      <c r="A194" t="s">
        <v>483</v>
      </c>
      <c r="B194">
        <v>2</v>
      </c>
      <c r="C194" t="s">
        <v>5</v>
      </c>
      <c r="D194">
        <v>2</v>
      </c>
      <c r="E194">
        <v>6.5</v>
      </c>
      <c r="F194">
        <v>6.5</v>
      </c>
      <c r="G194">
        <v>0</v>
      </c>
      <c r="H194">
        <v>1</v>
      </c>
      <c r="I194" t="s">
        <v>50</v>
      </c>
      <c r="J194" t="s">
        <v>50</v>
      </c>
      <c r="K194">
        <v>0</v>
      </c>
    </row>
    <row r="195" spans="1:11" x14ac:dyDescent="0.2">
      <c r="A195" t="s">
        <v>483</v>
      </c>
      <c r="B195">
        <v>2</v>
      </c>
      <c r="C195" t="s">
        <v>6</v>
      </c>
      <c r="D195">
        <v>1</v>
      </c>
      <c r="E195">
        <v>8.8000000000000007</v>
      </c>
      <c r="F195">
        <v>8.8000000000000007</v>
      </c>
      <c r="G195">
        <v>0</v>
      </c>
      <c r="H195">
        <v>1</v>
      </c>
      <c r="I195" t="s">
        <v>314</v>
      </c>
      <c r="J195" t="s">
        <v>314</v>
      </c>
      <c r="K195">
        <v>0</v>
      </c>
    </row>
    <row r="196" spans="1:11" x14ac:dyDescent="0.2">
      <c r="A196" t="s">
        <v>483</v>
      </c>
      <c r="B196">
        <v>2</v>
      </c>
      <c r="C196" t="s">
        <v>6</v>
      </c>
      <c r="D196">
        <v>2</v>
      </c>
      <c r="E196">
        <v>3.3</v>
      </c>
      <c r="F196">
        <v>-0.1</v>
      </c>
      <c r="G196">
        <v>3.4</v>
      </c>
      <c r="H196">
        <v>1</v>
      </c>
      <c r="I196" t="s">
        <v>27</v>
      </c>
      <c r="J196" t="s">
        <v>78</v>
      </c>
      <c r="K196">
        <v>0</v>
      </c>
    </row>
    <row r="197" spans="1:11" x14ac:dyDescent="0.2">
      <c r="A197" t="s">
        <v>483</v>
      </c>
      <c r="B197">
        <v>2</v>
      </c>
      <c r="C197" t="s">
        <v>9</v>
      </c>
      <c r="D197">
        <v>1</v>
      </c>
      <c r="E197">
        <v>16.8</v>
      </c>
      <c r="F197">
        <v>14.2</v>
      </c>
      <c r="G197">
        <v>2.6</v>
      </c>
      <c r="H197">
        <v>1</v>
      </c>
      <c r="I197" t="s">
        <v>204</v>
      </c>
      <c r="J197" t="s">
        <v>302</v>
      </c>
      <c r="K197">
        <v>0</v>
      </c>
    </row>
    <row r="198" spans="1:11" x14ac:dyDescent="0.2">
      <c r="A198" t="s">
        <v>483</v>
      </c>
      <c r="B198">
        <v>2</v>
      </c>
      <c r="C198" t="s">
        <v>11</v>
      </c>
      <c r="D198">
        <v>1</v>
      </c>
      <c r="E198">
        <v>14.2</v>
      </c>
      <c r="F198">
        <v>5.5</v>
      </c>
      <c r="G198">
        <v>8.6999999999999993</v>
      </c>
      <c r="H198">
        <v>1</v>
      </c>
      <c r="I198" t="s">
        <v>110</v>
      </c>
      <c r="J198" t="s">
        <v>204</v>
      </c>
      <c r="K198">
        <v>0</v>
      </c>
    </row>
    <row r="199" spans="1:11" x14ac:dyDescent="0.2">
      <c r="A199" t="s">
        <v>483</v>
      </c>
      <c r="B199">
        <v>2</v>
      </c>
      <c r="C199" t="s">
        <v>11</v>
      </c>
      <c r="D199">
        <v>2</v>
      </c>
      <c r="E199">
        <v>5.5</v>
      </c>
      <c r="F199">
        <v>3.3</v>
      </c>
      <c r="G199">
        <v>2.2000000000000002</v>
      </c>
      <c r="H199">
        <v>1</v>
      </c>
      <c r="I199" t="s">
        <v>78</v>
      </c>
      <c r="J199" t="s">
        <v>110</v>
      </c>
      <c r="K199">
        <v>0</v>
      </c>
    </row>
    <row r="200" spans="1:11" x14ac:dyDescent="0.2">
      <c r="A200" t="s">
        <v>483</v>
      </c>
      <c r="B200">
        <v>2</v>
      </c>
      <c r="C200" t="s">
        <v>12</v>
      </c>
      <c r="D200">
        <v>1</v>
      </c>
      <c r="E200">
        <v>11</v>
      </c>
      <c r="F200">
        <v>11</v>
      </c>
      <c r="G200">
        <v>0</v>
      </c>
      <c r="H200">
        <v>1</v>
      </c>
      <c r="I200" t="s">
        <v>368</v>
      </c>
      <c r="J200" t="s">
        <v>368</v>
      </c>
      <c r="K200">
        <v>0</v>
      </c>
    </row>
    <row r="201" spans="1:11" x14ac:dyDescent="0.2">
      <c r="A201" t="s">
        <v>483</v>
      </c>
      <c r="B201">
        <v>2</v>
      </c>
      <c r="C201" t="s">
        <v>13</v>
      </c>
      <c r="D201">
        <v>1</v>
      </c>
      <c r="E201">
        <v>10</v>
      </c>
      <c r="F201">
        <v>10</v>
      </c>
      <c r="G201">
        <v>0</v>
      </c>
      <c r="H201">
        <v>0</v>
      </c>
      <c r="I201" t="s">
        <v>249</v>
      </c>
      <c r="J201" t="s">
        <v>249</v>
      </c>
      <c r="K201">
        <v>10</v>
      </c>
    </row>
    <row r="202" spans="1:11" x14ac:dyDescent="0.2">
      <c r="A202" t="s">
        <v>483</v>
      </c>
      <c r="B202">
        <v>3</v>
      </c>
      <c r="C202" t="s">
        <v>4</v>
      </c>
      <c r="D202">
        <v>1</v>
      </c>
      <c r="E202">
        <v>27.66</v>
      </c>
      <c r="F202">
        <v>20.9</v>
      </c>
      <c r="G202">
        <v>6.76</v>
      </c>
      <c r="H202">
        <v>1</v>
      </c>
      <c r="I202" t="s">
        <v>22</v>
      </c>
      <c r="J202" t="s">
        <v>239</v>
      </c>
      <c r="K202">
        <v>0</v>
      </c>
    </row>
    <row r="203" spans="1:11" x14ac:dyDescent="0.2">
      <c r="A203" t="s">
        <v>483</v>
      </c>
      <c r="B203">
        <v>3</v>
      </c>
      <c r="C203" t="s">
        <v>5</v>
      </c>
      <c r="D203">
        <v>1</v>
      </c>
      <c r="E203">
        <v>34.299999999999997</v>
      </c>
      <c r="F203">
        <v>34.299999999999997</v>
      </c>
      <c r="G203">
        <v>0</v>
      </c>
      <c r="H203">
        <v>1</v>
      </c>
      <c r="I203" t="s">
        <v>186</v>
      </c>
      <c r="J203" t="s">
        <v>186</v>
      </c>
      <c r="K203">
        <v>0</v>
      </c>
    </row>
    <row r="204" spans="1:11" x14ac:dyDescent="0.2">
      <c r="A204" t="s">
        <v>483</v>
      </c>
      <c r="B204">
        <v>3</v>
      </c>
      <c r="C204" t="s">
        <v>5</v>
      </c>
      <c r="D204">
        <v>2</v>
      </c>
      <c r="E204">
        <v>17.3</v>
      </c>
      <c r="F204">
        <v>17.3</v>
      </c>
      <c r="G204">
        <v>0</v>
      </c>
      <c r="H204">
        <v>1</v>
      </c>
      <c r="I204" t="s">
        <v>50</v>
      </c>
      <c r="J204" t="s">
        <v>50</v>
      </c>
      <c r="K204">
        <v>0</v>
      </c>
    </row>
    <row r="205" spans="1:11" x14ac:dyDescent="0.2">
      <c r="A205" t="s">
        <v>483</v>
      </c>
      <c r="B205">
        <v>3</v>
      </c>
      <c r="C205" t="s">
        <v>6</v>
      </c>
      <c r="D205">
        <v>1</v>
      </c>
      <c r="E205">
        <v>15.9</v>
      </c>
      <c r="F205">
        <v>8.6999999999999993</v>
      </c>
      <c r="G205">
        <v>7.2</v>
      </c>
      <c r="H205">
        <v>1</v>
      </c>
      <c r="I205" t="s">
        <v>314</v>
      </c>
      <c r="J205" t="s">
        <v>78</v>
      </c>
      <c r="K205">
        <v>0</v>
      </c>
    </row>
    <row r="206" spans="1:11" x14ac:dyDescent="0.2">
      <c r="A206" t="s">
        <v>483</v>
      </c>
      <c r="B206">
        <v>3</v>
      </c>
      <c r="C206" t="s">
        <v>6</v>
      </c>
      <c r="D206">
        <v>2</v>
      </c>
      <c r="E206">
        <v>9.6999999999999993</v>
      </c>
      <c r="F206">
        <v>7</v>
      </c>
      <c r="G206">
        <v>2.7</v>
      </c>
      <c r="H206">
        <v>0</v>
      </c>
      <c r="I206" t="s">
        <v>542</v>
      </c>
      <c r="J206" t="s">
        <v>27</v>
      </c>
      <c r="K206">
        <v>7</v>
      </c>
    </row>
    <row r="207" spans="1:11" x14ac:dyDescent="0.2">
      <c r="A207" t="s">
        <v>483</v>
      </c>
      <c r="B207">
        <v>3</v>
      </c>
      <c r="C207" t="s">
        <v>9</v>
      </c>
      <c r="D207">
        <v>1</v>
      </c>
      <c r="E207">
        <v>7.6</v>
      </c>
      <c r="F207">
        <v>5.9</v>
      </c>
      <c r="G207">
        <v>1.7</v>
      </c>
      <c r="H207">
        <v>1</v>
      </c>
      <c r="I207" t="s">
        <v>204</v>
      </c>
      <c r="J207" t="s">
        <v>302</v>
      </c>
      <c r="K207">
        <v>0</v>
      </c>
    </row>
    <row r="208" spans="1:11" x14ac:dyDescent="0.2">
      <c r="A208" t="s">
        <v>483</v>
      </c>
      <c r="B208">
        <v>3</v>
      </c>
      <c r="C208" t="s">
        <v>11</v>
      </c>
      <c r="D208">
        <v>1</v>
      </c>
      <c r="E208">
        <v>8.6999999999999993</v>
      </c>
      <c r="F208">
        <v>7.6</v>
      </c>
      <c r="G208">
        <v>1.1000000000000001</v>
      </c>
      <c r="H208">
        <v>1</v>
      </c>
      <c r="I208" t="s">
        <v>302</v>
      </c>
      <c r="J208" t="s">
        <v>314</v>
      </c>
      <c r="K208">
        <v>0</v>
      </c>
    </row>
    <row r="209" spans="1:11" x14ac:dyDescent="0.2">
      <c r="A209" t="s">
        <v>483</v>
      </c>
      <c r="B209">
        <v>3</v>
      </c>
      <c r="C209" t="s">
        <v>11</v>
      </c>
      <c r="D209">
        <v>2</v>
      </c>
      <c r="E209">
        <v>7</v>
      </c>
      <c r="F209">
        <v>1</v>
      </c>
      <c r="G209">
        <v>6</v>
      </c>
      <c r="H209">
        <v>1</v>
      </c>
      <c r="I209" t="s">
        <v>110</v>
      </c>
      <c r="J209" t="s">
        <v>542</v>
      </c>
      <c r="K209">
        <v>0</v>
      </c>
    </row>
    <row r="210" spans="1:11" x14ac:dyDescent="0.2">
      <c r="A210" t="s">
        <v>483</v>
      </c>
      <c r="B210">
        <v>3</v>
      </c>
      <c r="C210" t="s">
        <v>12</v>
      </c>
      <c r="D210">
        <v>1</v>
      </c>
      <c r="E210">
        <v>5</v>
      </c>
      <c r="F210">
        <v>5</v>
      </c>
      <c r="G210">
        <v>0</v>
      </c>
      <c r="H210">
        <v>1</v>
      </c>
      <c r="I210" t="s">
        <v>368</v>
      </c>
      <c r="J210" t="s">
        <v>368</v>
      </c>
      <c r="K210">
        <v>0</v>
      </c>
    </row>
    <row r="211" spans="1:11" x14ac:dyDescent="0.2">
      <c r="A211" t="s">
        <v>483</v>
      </c>
      <c r="B211">
        <v>3</v>
      </c>
      <c r="C211" t="s">
        <v>13</v>
      </c>
      <c r="D211">
        <v>1</v>
      </c>
      <c r="E211">
        <v>16</v>
      </c>
      <c r="F211">
        <v>16</v>
      </c>
      <c r="G211">
        <v>0</v>
      </c>
      <c r="H211">
        <v>0</v>
      </c>
      <c r="I211" t="s">
        <v>249</v>
      </c>
      <c r="J211" t="s">
        <v>249</v>
      </c>
      <c r="K211">
        <v>16</v>
      </c>
    </row>
    <row r="212" spans="1:11" x14ac:dyDescent="0.2">
      <c r="A212" t="s">
        <v>484</v>
      </c>
      <c r="B212">
        <v>1</v>
      </c>
      <c r="C212" t="s">
        <v>4</v>
      </c>
      <c r="D212">
        <v>1</v>
      </c>
      <c r="E212">
        <v>16.440000000000001</v>
      </c>
      <c r="F212">
        <v>14.16</v>
      </c>
      <c r="G212">
        <v>2.2799999999999998</v>
      </c>
      <c r="H212">
        <v>1</v>
      </c>
      <c r="I212" t="s">
        <v>64</v>
      </c>
      <c r="J212" t="s">
        <v>129</v>
      </c>
      <c r="K212">
        <v>0</v>
      </c>
    </row>
    <row r="213" spans="1:11" x14ac:dyDescent="0.2">
      <c r="A213" t="s">
        <v>484</v>
      </c>
      <c r="B213">
        <v>1</v>
      </c>
      <c r="C213" t="s">
        <v>5</v>
      </c>
      <c r="D213">
        <v>1</v>
      </c>
      <c r="E213">
        <v>14</v>
      </c>
      <c r="F213">
        <v>14</v>
      </c>
      <c r="G213">
        <v>0</v>
      </c>
      <c r="H213">
        <v>1</v>
      </c>
      <c r="I213" t="s">
        <v>167</v>
      </c>
      <c r="J213" t="s">
        <v>167</v>
      </c>
      <c r="K213">
        <v>0</v>
      </c>
    </row>
    <row r="214" spans="1:11" x14ac:dyDescent="0.2">
      <c r="A214" t="s">
        <v>484</v>
      </c>
      <c r="B214">
        <v>1</v>
      </c>
      <c r="C214" t="s">
        <v>5</v>
      </c>
      <c r="D214">
        <v>2</v>
      </c>
      <c r="E214">
        <v>12.1</v>
      </c>
      <c r="F214">
        <v>7.8</v>
      </c>
      <c r="G214">
        <v>4.3</v>
      </c>
      <c r="H214">
        <v>1</v>
      </c>
      <c r="I214" t="s">
        <v>194</v>
      </c>
      <c r="J214" t="s">
        <v>321</v>
      </c>
      <c r="K214">
        <v>0</v>
      </c>
    </row>
    <row r="215" spans="1:11" x14ac:dyDescent="0.2">
      <c r="A215" t="s">
        <v>484</v>
      </c>
      <c r="B215">
        <v>1</v>
      </c>
      <c r="C215" t="s">
        <v>6</v>
      </c>
      <c r="D215">
        <v>1</v>
      </c>
      <c r="E215">
        <v>29.8</v>
      </c>
      <c r="F215">
        <v>9.9</v>
      </c>
      <c r="G215">
        <v>19.899999999999999</v>
      </c>
      <c r="H215">
        <v>1</v>
      </c>
      <c r="I215" t="s">
        <v>203</v>
      </c>
      <c r="J215" t="s">
        <v>278</v>
      </c>
      <c r="K215">
        <v>0</v>
      </c>
    </row>
    <row r="216" spans="1:11" x14ac:dyDescent="0.2">
      <c r="A216" t="s">
        <v>484</v>
      </c>
      <c r="B216">
        <v>1</v>
      </c>
      <c r="C216" t="s">
        <v>6</v>
      </c>
      <c r="D216">
        <v>2</v>
      </c>
      <c r="E216">
        <v>9.9</v>
      </c>
      <c r="F216">
        <v>8.9</v>
      </c>
      <c r="G216">
        <v>1</v>
      </c>
      <c r="H216">
        <v>1</v>
      </c>
      <c r="I216" t="s">
        <v>214</v>
      </c>
      <c r="J216" t="s">
        <v>203</v>
      </c>
      <c r="K216">
        <v>0</v>
      </c>
    </row>
    <row r="217" spans="1:11" x14ac:dyDescent="0.2">
      <c r="A217" t="s">
        <v>484</v>
      </c>
      <c r="B217">
        <v>1</v>
      </c>
      <c r="C217" t="s">
        <v>9</v>
      </c>
      <c r="D217">
        <v>1</v>
      </c>
      <c r="E217">
        <v>3.1</v>
      </c>
      <c r="F217">
        <v>3.1</v>
      </c>
      <c r="G217">
        <v>0</v>
      </c>
      <c r="H217">
        <v>1</v>
      </c>
      <c r="I217" t="s">
        <v>333</v>
      </c>
      <c r="J217" t="s">
        <v>333</v>
      </c>
      <c r="K217">
        <v>0</v>
      </c>
    </row>
    <row r="218" spans="1:11" x14ac:dyDescent="0.2">
      <c r="A218" t="s">
        <v>484</v>
      </c>
      <c r="B218">
        <v>1</v>
      </c>
      <c r="C218" t="s">
        <v>11</v>
      </c>
      <c r="D218">
        <v>1</v>
      </c>
      <c r="E218">
        <v>8.9</v>
      </c>
      <c r="F218">
        <v>7</v>
      </c>
      <c r="G218">
        <v>1.9</v>
      </c>
      <c r="H218">
        <v>1</v>
      </c>
      <c r="I218" t="s">
        <v>328</v>
      </c>
      <c r="J218" t="s">
        <v>214</v>
      </c>
      <c r="K218">
        <v>0</v>
      </c>
    </row>
    <row r="219" spans="1:11" x14ac:dyDescent="0.2">
      <c r="A219" t="s">
        <v>484</v>
      </c>
      <c r="B219">
        <v>1</v>
      </c>
      <c r="C219" t="s">
        <v>11</v>
      </c>
      <c r="D219">
        <v>2</v>
      </c>
      <c r="E219">
        <v>7.8</v>
      </c>
      <c r="F219">
        <v>2.7</v>
      </c>
      <c r="G219">
        <v>5.0999999999999996</v>
      </c>
      <c r="H219">
        <v>1</v>
      </c>
      <c r="I219" t="s">
        <v>193</v>
      </c>
      <c r="J219" t="s">
        <v>194</v>
      </c>
      <c r="K219">
        <v>0</v>
      </c>
    </row>
    <row r="220" spans="1:11" x14ac:dyDescent="0.2">
      <c r="A220" t="s">
        <v>484</v>
      </c>
      <c r="B220">
        <v>1</v>
      </c>
      <c r="C220" t="s">
        <v>12</v>
      </c>
      <c r="D220">
        <v>1</v>
      </c>
      <c r="E220">
        <v>5</v>
      </c>
      <c r="F220">
        <v>5</v>
      </c>
      <c r="G220">
        <v>0</v>
      </c>
      <c r="H220">
        <v>1</v>
      </c>
      <c r="I220" t="s">
        <v>63</v>
      </c>
      <c r="J220" t="s">
        <v>63</v>
      </c>
      <c r="K220">
        <v>0</v>
      </c>
    </row>
    <row r="221" spans="1:11" x14ac:dyDescent="0.2">
      <c r="A221" t="s">
        <v>484</v>
      </c>
      <c r="B221">
        <v>1</v>
      </c>
      <c r="C221" t="s">
        <v>13</v>
      </c>
      <c r="D221">
        <v>1</v>
      </c>
      <c r="E221">
        <v>8</v>
      </c>
      <c r="F221">
        <v>8</v>
      </c>
      <c r="G221">
        <v>0</v>
      </c>
      <c r="H221">
        <v>1</v>
      </c>
      <c r="I221" t="s">
        <v>242</v>
      </c>
      <c r="J221" t="s">
        <v>242</v>
      </c>
      <c r="K221">
        <v>0</v>
      </c>
    </row>
    <row r="222" spans="1:11" x14ac:dyDescent="0.2">
      <c r="A222" t="s">
        <v>484</v>
      </c>
      <c r="B222">
        <v>2</v>
      </c>
      <c r="C222" t="s">
        <v>4</v>
      </c>
      <c r="D222">
        <v>1</v>
      </c>
      <c r="E222">
        <v>29.78</v>
      </c>
      <c r="F222">
        <v>16.18</v>
      </c>
      <c r="G222">
        <v>13.6</v>
      </c>
      <c r="H222">
        <v>1</v>
      </c>
      <c r="I222" t="s">
        <v>64</v>
      </c>
      <c r="J222" t="s">
        <v>129</v>
      </c>
      <c r="K222">
        <v>0</v>
      </c>
    </row>
    <row r="223" spans="1:11" x14ac:dyDescent="0.2">
      <c r="A223" t="s">
        <v>484</v>
      </c>
      <c r="B223">
        <v>2</v>
      </c>
      <c r="C223" t="s">
        <v>5</v>
      </c>
      <c r="D223">
        <v>1</v>
      </c>
      <c r="E223">
        <v>14.7</v>
      </c>
      <c r="F223">
        <v>14.7</v>
      </c>
      <c r="G223">
        <v>0</v>
      </c>
      <c r="H223">
        <v>1</v>
      </c>
      <c r="I223" t="s">
        <v>167</v>
      </c>
      <c r="J223" t="s">
        <v>167</v>
      </c>
      <c r="K223">
        <v>0</v>
      </c>
    </row>
    <row r="224" spans="1:11" x14ac:dyDescent="0.2">
      <c r="A224" t="s">
        <v>484</v>
      </c>
      <c r="B224">
        <v>2</v>
      </c>
      <c r="C224" t="s">
        <v>5</v>
      </c>
      <c r="D224">
        <v>2</v>
      </c>
      <c r="E224">
        <v>8.6999999999999993</v>
      </c>
      <c r="F224">
        <v>5.3</v>
      </c>
      <c r="G224">
        <v>3.4</v>
      </c>
      <c r="H224">
        <v>1</v>
      </c>
      <c r="I224" t="s">
        <v>321</v>
      </c>
      <c r="J224" t="s">
        <v>194</v>
      </c>
      <c r="K224">
        <v>0</v>
      </c>
    </row>
    <row r="225" spans="1:11" x14ac:dyDescent="0.2">
      <c r="A225" t="s">
        <v>484</v>
      </c>
      <c r="B225">
        <v>2</v>
      </c>
      <c r="C225" t="s">
        <v>6</v>
      </c>
      <c r="D225">
        <v>1</v>
      </c>
      <c r="E225">
        <v>10.6</v>
      </c>
      <c r="F225">
        <v>10.6</v>
      </c>
      <c r="G225">
        <v>0</v>
      </c>
      <c r="H225">
        <v>1</v>
      </c>
      <c r="I225" t="s">
        <v>278</v>
      </c>
      <c r="J225" t="s">
        <v>278</v>
      </c>
      <c r="K225">
        <v>0</v>
      </c>
    </row>
    <row r="226" spans="1:11" x14ac:dyDescent="0.2">
      <c r="A226" t="s">
        <v>484</v>
      </c>
      <c r="B226">
        <v>2</v>
      </c>
      <c r="C226" t="s">
        <v>6</v>
      </c>
      <c r="D226">
        <v>2</v>
      </c>
      <c r="E226">
        <v>10.3</v>
      </c>
      <c r="F226">
        <v>10.3</v>
      </c>
      <c r="G226">
        <v>0</v>
      </c>
      <c r="H226">
        <v>1</v>
      </c>
      <c r="I226" t="s">
        <v>214</v>
      </c>
      <c r="J226" t="s">
        <v>214</v>
      </c>
      <c r="K226">
        <v>0</v>
      </c>
    </row>
    <row r="227" spans="1:11" x14ac:dyDescent="0.2">
      <c r="A227" t="s">
        <v>484</v>
      </c>
      <c r="B227">
        <v>2</v>
      </c>
      <c r="C227" t="s">
        <v>9</v>
      </c>
      <c r="D227">
        <v>1</v>
      </c>
      <c r="E227">
        <v>7.9</v>
      </c>
      <c r="F227">
        <v>7.9</v>
      </c>
      <c r="G227">
        <v>0</v>
      </c>
      <c r="H227">
        <v>1</v>
      </c>
      <c r="I227" t="s">
        <v>333</v>
      </c>
      <c r="J227" t="s">
        <v>333</v>
      </c>
      <c r="K227">
        <v>0</v>
      </c>
    </row>
    <row r="228" spans="1:11" x14ac:dyDescent="0.2">
      <c r="A228" t="s">
        <v>484</v>
      </c>
      <c r="B228">
        <v>2</v>
      </c>
      <c r="C228" t="s">
        <v>11</v>
      </c>
      <c r="D228">
        <v>1</v>
      </c>
      <c r="E228">
        <v>5.3</v>
      </c>
      <c r="F228">
        <v>4.7</v>
      </c>
      <c r="G228">
        <v>0.6</v>
      </c>
      <c r="H228">
        <v>1</v>
      </c>
      <c r="I228" t="s">
        <v>328</v>
      </c>
      <c r="J228" t="s">
        <v>321</v>
      </c>
      <c r="K228">
        <v>0</v>
      </c>
    </row>
    <row r="229" spans="1:11" x14ac:dyDescent="0.2">
      <c r="A229" t="s">
        <v>484</v>
      </c>
      <c r="B229">
        <v>2</v>
      </c>
      <c r="C229" t="s">
        <v>11</v>
      </c>
      <c r="D229">
        <v>2</v>
      </c>
      <c r="E229">
        <v>4.7</v>
      </c>
      <c r="F229">
        <v>1.9</v>
      </c>
      <c r="G229">
        <v>2.8</v>
      </c>
      <c r="H229">
        <v>1</v>
      </c>
      <c r="I229" t="s">
        <v>193</v>
      </c>
      <c r="J229" t="s">
        <v>328</v>
      </c>
      <c r="K229">
        <v>0</v>
      </c>
    </row>
    <row r="230" spans="1:11" x14ac:dyDescent="0.2">
      <c r="A230" t="s">
        <v>484</v>
      </c>
      <c r="B230">
        <v>2</v>
      </c>
      <c r="C230" t="s">
        <v>12</v>
      </c>
      <c r="D230">
        <v>1</v>
      </c>
      <c r="E230">
        <v>4</v>
      </c>
      <c r="F230">
        <v>4</v>
      </c>
      <c r="G230">
        <v>0</v>
      </c>
      <c r="H230">
        <v>1</v>
      </c>
      <c r="I230" t="s">
        <v>63</v>
      </c>
      <c r="J230" t="s">
        <v>63</v>
      </c>
      <c r="K230">
        <v>0</v>
      </c>
    </row>
    <row r="231" spans="1:11" x14ac:dyDescent="0.2">
      <c r="A231" t="s">
        <v>484</v>
      </c>
      <c r="B231">
        <v>2</v>
      </c>
      <c r="C231" t="s">
        <v>13</v>
      </c>
      <c r="D231">
        <v>1</v>
      </c>
      <c r="E231">
        <v>4</v>
      </c>
      <c r="F231">
        <v>4</v>
      </c>
      <c r="G231">
        <v>0</v>
      </c>
      <c r="H231">
        <v>1</v>
      </c>
      <c r="I231" t="s">
        <v>242</v>
      </c>
      <c r="J231" t="s">
        <v>242</v>
      </c>
      <c r="K231">
        <v>0</v>
      </c>
    </row>
    <row r="232" spans="1:11" x14ac:dyDescent="0.2">
      <c r="A232" t="s">
        <v>484</v>
      </c>
      <c r="B232">
        <v>3</v>
      </c>
      <c r="C232" t="s">
        <v>4</v>
      </c>
      <c r="D232">
        <v>1</v>
      </c>
      <c r="E232">
        <v>22.58</v>
      </c>
      <c r="F232">
        <v>22.58</v>
      </c>
      <c r="G232">
        <v>0</v>
      </c>
      <c r="H232">
        <v>1</v>
      </c>
      <c r="I232" t="s">
        <v>64</v>
      </c>
      <c r="J232" t="s">
        <v>64</v>
      </c>
      <c r="K232">
        <v>0</v>
      </c>
    </row>
    <row r="233" spans="1:11" x14ac:dyDescent="0.2">
      <c r="A233" t="s">
        <v>484</v>
      </c>
      <c r="B233">
        <v>3</v>
      </c>
      <c r="C233" t="s">
        <v>5</v>
      </c>
      <c r="D233">
        <v>1</v>
      </c>
      <c r="E233">
        <v>19.100000000000001</v>
      </c>
      <c r="F233">
        <v>19.100000000000001</v>
      </c>
      <c r="G233">
        <v>0</v>
      </c>
      <c r="H233">
        <v>1</v>
      </c>
      <c r="I233" t="s">
        <v>194</v>
      </c>
      <c r="J233" t="s">
        <v>194</v>
      </c>
      <c r="K233">
        <v>0</v>
      </c>
    </row>
    <row r="234" spans="1:11" x14ac:dyDescent="0.2">
      <c r="A234" t="s">
        <v>484</v>
      </c>
      <c r="B234">
        <v>3</v>
      </c>
      <c r="C234" t="s">
        <v>5</v>
      </c>
      <c r="D234">
        <v>2</v>
      </c>
      <c r="E234">
        <v>18.8</v>
      </c>
      <c r="F234">
        <v>18.8</v>
      </c>
      <c r="G234">
        <v>0</v>
      </c>
      <c r="H234">
        <v>1</v>
      </c>
      <c r="I234" t="s">
        <v>167</v>
      </c>
      <c r="J234" t="s">
        <v>167</v>
      </c>
      <c r="K234">
        <v>0</v>
      </c>
    </row>
    <row r="235" spans="1:11" x14ac:dyDescent="0.2">
      <c r="A235" t="s">
        <v>484</v>
      </c>
      <c r="B235">
        <v>3</v>
      </c>
      <c r="C235" t="s">
        <v>6</v>
      </c>
      <c r="D235">
        <v>1</v>
      </c>
      <c r="E235">
        <v>16.3</v>
      </c>
      <c r="F235">
        <v>12.3</v>
      </c>
      <c r="G235">
        <v>4</v>
      </c>
      <c r="H235">
        <v>1</v>
      </c>
      <c r="I235" t="s">
        <v>214</v>
      </c>
      <c r="J235" t="s">
        <v>328</v>
      </c>
      <c r="K235">
        <v>0</v>
      </c>
    </row>
    <row r="236" spans="1:11" x14ac:dyDescent="0.2">
      <c r="A236" t="s">
        <v>484</v>
      </c>
      <c r="B236">
        <v>3</v>
      </c>
      <c r="C236" t="s">
        <v>6</v>
      </c>
      <c r="D236">
        <v>2</v>
      </c>
      <c r="E236">
        <v>12.3</v>
      </c>
      <c r="F236">
        <v>2.8</v>
      </c>
      <c r="G236">
        <v>9.5</v>
      </c>
      <c r="H236">
        <v>1</v>
      </c>
      <c r="I236" t="s">
        <v>278</v>
      </c>
      <c r="J236" t="s">
        <v>214</v>
      </c>
      <c r="K236">
        <v>0</v>
      </c>
    </row>
    <row r="237" spans="1:11" x14ac:dyDescent="0.2">
      <c r="A237" t="s">
        <v>484</v>
      </c>
      <c r="B237">
        <v>3</v>
      </c>
      <c r="C237" t="s">
        <v>9</v>
      </c>
      <c r="D237">
        <v>1</v>
      </c>
      <c r="E237">
        <v>20.6</v>
      </c>
      <c r="F237">
        <v>20.6</v>
      </c>
      <c r="G237">
        <v>0</v>
      </c>
      <c r="H237">
        <v>1</v>
      </c>
      <c r="I237" t="s">
        <v>333</v>
      </c>
      <c r="J237" t="s">
        <v>333</v>
      </c>
      <c r="K237">
        <v>0</v>
      </c>
    </row>
    <row r="238" spans="1:11" x14ac:dyDescent="0.2">
      <c r="A238" t="s">
        <v>484</v>
      </c>
      <c r="B238">
        <v>3</v>
      </c>
      <c r="C238" t="s">
        <v>11</v>
      </c>
      <c r="D238">
        <v>1</v>
      </c>
      <c r="E238">
        <v>5.5</v>
      </c>
      <c r="F238">
        <v>16.3</v>
      </c>
      <c r="G238">
        <v>-10.8</v>
      </c>
      <c r="H238">
        <v>1</v>
      </c>
      <c r="I238" t="s">
        <v>328</v>
      </c>
      <c r="J238" t="s">
        <v>193</v>
      </c>
      <c r="K238">
        <v>0</v>
      </c>
    </row>
    <row r="239" spans="1:11" x14ac:dyDescent="0.2">
      <c r="A239" t="s">
        <v>484</v>
      </c>
      <c r="B239">
        <v>3</v>
      </c>
      <c r="C239" t="s">
        <v>11</v>
      </c>
      <c r="D239">
        <v>2</v>
      </c>
      <c r="E239">
        <v>4.8</v>
      </c>
      <c r="F239">
        <v>4.8</v>
      </c>
      <c r="G239">
        <v>0</v>
      </c>
      <c r="H239">
        <v>1</v>
      </c>
      <c r="I239" t="s">
        <v>321</v>
      </c>
      <c r="J239" t="s">
        <v>321</v>
      </c>
      <c r="K239">
        <v>0</v>
      </c>
    </row>
    <row r="240" spans="1:11" x14ac:dyDescent="0.2">
      <c r="A240" t="s">
        <v>484</v>
      </c>
      <c r="B240">
        <v>3</v>
      </c>
      <c r="C240" t="s">
        <v>12</v>
      </c>
      <c r="D240">
        <v>1</v>
      </c>
      <c r="E240">
        <v>-1</v>
      </c>
      <c r="F240">
        <v>-1</v>
      </c>
      <c r="G240">
        <v>0</v>
      </c>
      <c r="H240">
        <v>1</v>
      </c>
      <c r="I240" t="s">
        <v>63</v>
      </c>
      <c r="J240" t="s">
        <v>63</v>
      </c>
      <c r="K240">
        <v>0</v>
      </c>
    </row>
    <row r="241" spans="1:11" x14ac:dyDescent="0.2">
      <c r="A241" t="s">
        <v>484</v>
      </c>
      <c r="B241">
        <v>3</v>
      </c>
      <c r="C241" t="s">
        <v>13</v>
      </c>
      <c r="D241">
        <v>1</v>
      </c>
      <c r="E241">
        <v>13</v>
      </c>
      <c r="F241">
        <v>13</v>
      </c>
      <c r="G241">
        <v>0</v>
      </c>
      <c r="H241">
        <v>1</v>
      </c>
      <c r="I241" t="s">
        <v>242</v>
      </c>
      <c r="J241" t="s">
        <v>242</v>
      </c>
      <c r="K241">
        <v>0</v>
      </c>
    </row>
    <row r="242" spans="1:11" x14ac:dyDescent="0.2">
      <c r="A242" t="s">
        <v>256</v>
      </c>
      <c r="B242">
        <v>1</v>
      </c>
      <c r="C242" t="s">
        <v>4</v>
      </c>
      <c r="D242">
        <v>1</v>
      </c>
      <c r="E242">
        <v>9.82</v>
      </c>
      <c r="F242">
        <v>9.82</v>
      </c>
      <c r="G242">
        <v>0</v>
      </c>
      <c r="H242">
        <v>1</v>
      </c>
      <c r="I242" t="s">
        <v>258</v>
      </c>
      <c r="J242" t="s">
        <v>258</v>
      </c>
      <c r="K242">
        <v>0</v>
      </c>
    </row>
    <row r="243" spans="1:11" x14ac:dyDescent="0.2">
      <c r="A243" t="s">
        <v>256</v>
      </c>
      <c r="B243">
        <v>1</v>
      </c>
      <c r="C243" t="s">
        <v>5</v>
      </c>
      <c r="D243">
        <v>1</v>
      </c>
      <c r="E243">
        <v>16.3</v>
      </c>
      <c r="F243">
        <v>16.3</v>
      </c>
      <c r="G243">
        <v>0</v>
      </c>
      <c r="H243">
        <v>1</v>
      </c>
      <c r="I243" t="s">
        <v>208</v>
      </c>
      <c r="J243" t="s">
        <v>208</v>
      </c>
      <c r="K243">
        <v>0</v>
      </c>
    </row>
    <row r="244" spans="1:11" x14ac:dyDescent="0.2">
      <c r="A244" t="s">
        <v>256</v>
      </c>
      <c r="B244">
        <v>1</v>
      </c>
      <c r="C244" t="s">
        <v>5</v>
      </c>
      <c r="D244">
        <v>2</v>
      </c>
      <c r="E244">
        <v>8.3000000000000007</v>
      </c>
      <c r="F244">
        <v>8.3000000000000007</v>
      </c>
      <c r="G244">
        <v>0</v>
      </c>
      <c r="H244">
        <v>1</v>
      </c>
      <c r="I244" t="s">
        <v>316</v>
      </c>
      <c r="J244" t="s">
        <v>316</v>
      </c>
      <c r="K244">
        <v>0</v>
      </c>
    </row>
    <row r="245" spans="1:11" x14ac:dyDescent="0.2">
      <c r="A245" t="s">
        <v>256</v>
      </c>
      <c r="B245">
        <v>1</v>
      </c>
      <c r="C245" t="s">
        <v>6</v>
      </c>
      <c r="D245">
        <v>1</v>
      </c>
      <c r="E245">
        <v>29.7</v>
      </c>
      <c r="F245">
        <v>4.0999999999999996</v>
      </c>
      <c r="G245">
        <v>25.6</v>
      </c>
      <c r="H245">
        <v>1</v>
      </c>
      <c r="I245" t="s">
        <v>94</v>
      </c>
      <c r="J245" t="s">
        <v>166</v>
      </c>
      <c r="K245">
        <v>0</v>
      </c>
    </row>
    <row r="246" spans="1:11" x14ac:dyDescent="0.2">
      <c r="A246" t="s">
        <v>256</v>
      </c>
      <c r="B246">
        <v>1</v>
      </c>
      <c r="C246" t="s">
        <v>6</v>
      </c>
      <c r="D246">
        <v>2</v>
      </c>
      <c r="E246">
        <v>13.5</v>
      </c>
      <c r="F246">
        <v>2.1</v>
      </c>
      <c r="G246">
        <v>11.4</v>
      </c>
      <c r="H246">
        <v>1</v>
      </c>
      <c r="I246" t="s">
        <v>95</v>
      </c>
      <c r="J246" t="s">
        <v>26</v>
      </c>
      <c r="K246">
        <v>0</v>
      </c>
    </row>
    <row r="247" spans="1:11" x14ac:dyDescent="0.2">
      <c r="A247" t="s">
        <v>256</v>
      </c>
      <c r="B247">
        <v>1</v>
      </c>
      <c r="C247" t="s">
        <v>9</v>
      </c>
      <c r="D247">
        <v>1</v>
      </c>
      <c r="E247">
        <v>21.7</v>
      </c>
      <c r="F247">
        <v>21.7</v>
      </c>
      <c r="G247">
        <v>0</v>
      </c>
      <c r="H247">
        <v>1</v>
      </c>
      <c r="I247" t="s">
        <v>57</v>
      </c>
      <c r="J247" t="s">
        <v>57</v>
      </c>
      <c r="K247">
        <v>0</v>
      </c>
    </row>
    <row r="248" spans="1:11" x14ac:dyDescent="0.2">
      <c r="A248" t="s">
        <v>256</v>
      </c>
      <c r="B248">
        <v>1</v>
      </c>
      <c r="C248" t="s">
        <v>11</v>
      </c>
      <c r="D248">
        <v>1</v>
      </c>
      <c r="E248">
        <v>8</v>
      </c>
      <c r="F248">
        <v>29.7</v>
      </c>
      <c r="G248">
        <v>-21.7</v>
      </c>
      <c r="H248">
        <v>1</v>
      </c>
      <c r="I248" t="s">
        <v>166</v>
      </c>
      <c r="J248" t="s">
        <v>142</v>
      </c>
      <c r="K248">
        <v>0</v>
      </c>
    </row>
    <row r="249" spans="1:11" x14ac:dyDescent="0.2">
      <c r="A249" t="s">
        <v>256</v>
      </c>
      <c r="B249">
        <v>1</v>
      </c>
      <c r="C249" t="s">
        <v>11</v>
      </c>
      <c r="D249">
        <v>2</v>
      </c>
      <c r="E249">
        <v>4.2</v>
      </c>
      <c r="F249">
        <v>13.5</v>
      </c>
      <c r="G249">
        <v>-9.3000000000000007</v>
      </c>
      <c r="H249">
        <v>1</v>
      </c>
      <c r="I249" t="s">
        <v>26</v>
      </c>
      <c r="J249" t="s">
        <v>244</v>
      </c>
      <c r="K249">
        <v>0</v>
      </c>
    </row>
    <row r="250" spans="1:11" x14ac:dyDescent="0.2">
      <c r="A250" t="s">
        <v>256</v>
      </c>
      <c r="B250">
        <v>1</v>
      </c>
      <c r="C250" t="s">
        <v>12</v>
      </c>
      <c r="D250">
        <v>1</v>
      </c>
      <c r="E250">
        <v>8</v>
      </c>
      <c r="F250">
        <v>8</v>
      </c>
      <c r="G250">
        <v>0</v>
      </c>
      <c r="H250">
        <v>1</v>
      </c>
      <c r="I250" t="s">
        <v>69</v>
      </c>
      <c r="J250" t="s">
        <v>69</v>
      </c>
      <c r="K250">
        <v>0</v>
      </c>
    </row>
    <row r="251" spans="1:11" x14ac:dyDescent="0.2">
      <c r="A251" t="s">
        <v>256</v>
      </c>
      <c r="B251">
        <v>1</v>
      </c>
      <c r="C251" t="s">
        <v>13</v>
      </c>
      <c r="D251">
        <v>1</v>
      </c>
      <c r="E251">
        <v>9</v>
      </c>
      <c r="F251">
        <v>9</v>
      </c>
      <c r="G251">
        <v>0</v>
      </c>
      <c r="H251">
        <v>1</v>
      </c>
      <c r="I251" t="s">
        <v>232</v>
      </c>
      <c r="J251" t="s">
        <v>232</v>
      </c>
      <c r="K251">
        <v>0</v>
      </c>
    </row>
    <row r="252" spans="1:11" x14ac:dyDescent="0.2">
      <c r="A252" t="s">
        <v>256</v>
      </c>
      <c r="B252">
        <v>2</v>
      </c>
      <c r="C252" t="s">
        <v>4</v>
      </c>
      <c r="D252">
        <v>1</v>
      </c>
      <c r="E252">
        <v>8.02</v>
      </c>
      <c r="F252">
        <v>8.02</v>
      </c>
      <c r="G252">
        <v>0</v>
      </c>
      <c r="H252">
        <v>1</v>
      </c>
      <c r="I252" t="s">
        <v>258</v>
      </c>
      <c r="J252" t="s">
        <v>258</v>
      </c>
      <c r="K252">
        <v>0</v>
      </c>
    </row>
    <row r="253" spans="1:11" x14ac:dyDescent="0.2">
      <c r="A253" t="s">
        <v>256</v>
      </c>
      <c r="B253">
        <v>2</v>
      </c>
      <c r="C253" t="s">
        <v>5</v>
      </c>
      <c r="D253">
        <v>1</v>
      </c>
      <c r="E253">
        <v>16.5</v>
      </c>
      <c r="F253">
        <v>16.5</v>
      </c>
      <c r="G253">
        <v>0</v>
      </c>
      <c r="H253">
        <v>1</v>
      </c>
      <c r="I253" t="s">
        <v>316</v>
      </c>
      <c r="J253" t="s">
        <v>316</v>
      </c>
      <c r="K253">
        <v>0</v>
      </c>
    </row>
    <row r="254" spans="1:11" x14ac:dyDescent="0.2">
      <c r="A254" t="s">
        <v>256</v>
      </c>
      <c r="B254">
        <v>2</v>
      </c>
      <c r="C254" t="s">
        <v>5</v>
      </c>
      <c r="D254">
        <v>2</v>
      </c>
      <c r="E254">
        <v>9.6999999999999993</v>
      </c>
      <c r="F254">
        <v>9.6999999999999993</v>
      </c>
      <c r="G254">
        <v>0</v>
      </c>
      <c r="H254">
        <v>1</v>
      </c>
      <c r="I254" t="s">
        <v>208</v>
      </c>
      <c r="J254" t="s">
        <v>208</v>
      </c>
      <c r="K254">
        <v>0</v>
      </c>
    </row>
    <row r="255" spans="1:11" x14ac:dyDescent="0.2">
      <c r="A255" t="s">
        <v>256</v>
      </c>
      <c r="B255">
        <v>2</v>
      </c>
      <c r="C255" t="s">
        <v>6</v>
      </c>
      <c r="D255">
        <v>1</v>
      </c>
      <c r="E255">
        <v>35.5</v>
      </c>
      <c r="F255">
        <v>35.5</v>
      </c>
      <c r="G255">
        <v>0</v>
      </c>
      <c r="H255">
        <v>1</v>
      </c>
      <c r="I255" t="s">
        <v>94</v>
      </c>
      <c r="J255" t="s">
        <v>94</v>
      </c>
      <c r="K255">
        <v>0</v>
      </c>
    </row>
    <row r="256" spans="1:11" x14ac:dyDescent="0.2">
      <c r="A256" t="s">
        <v>256</v>
      </c>
      <c r="B256">
        <v>2</v>
      </c>
      <c r="C256" t="s">
        <v>6</v>
      </c>
      <c r="D256">
        <v>2</v>
      </c>
      <c r="E256">
        <v>19.2</v>
      </c>
      <c r="F256">
        <v>4</v>
      </c>
      <c r="G256">
        <v>15.2</v>
      </c>
      <c r="H256">
        <v>1</v>
      </c>
      <c r="I256" t="s">
        <v>95</v>
      </c>
      <c r="J256" t="s">
        <v>26</v>
      </c>
      <c r="K256">
        <v>0</v>
      </c>
    </row>
    <row r="257" spans="1:11" x14ac:dyDescent="0.2">
      <c r="A257" t="s">
        <v>256</v>
      </c>
      <c r="B257">
        <v>2</v>
      </c>
      <c r="C257" t="s">
        <v>9</v>
      </c>
      <c r="D257">
        <v>1</v>
      </c>
      <c r="E257">
        <v>0.9</v>
      </c>
      <c r="F257">
        <v>0.9</v>
      </c>
      <c r="G257">
        <v>0</v>
      </c>
      <c r="H257">
        <v>1</v>
      </c>
      <c r="I257" t="s">
        <v>57</v>
      </c>
      <c r="J257" t="s">
        <v>57</v>
      </c>
      <c r="K257">
        <v>0</v>
      </c>
    </row>
    <row r="258" spans="1:11" x14ac:dyDescent="0.2">
      <c r="A258" t="s">
        <v>256</v>
      </c>
      <c r="B258">
        <v>2</v>
      </c>
      <c r="C258" t="s">
        <v>11</v>
      </c>
      <c r="D258">
        <v>1</v>
      </c>
      <c r="E258">
        <v>12.1</v>
      </c>
      <c r="F258">
        <v>19.2</v>
      </c>
      <c r="G258">
        <v>-7.1</v>
      </c>
      <c r="H258">
        <v>1</v>
      </c>
      <c r="I258" t="s">
        <v>26</v>
      </c>
      <c r="J258" t="s">
        <v>166</v>
      </c>
      <c r="K258">
        <v>0</v>
      </c>
    </row>
    <row r="259" spans="1:11" x14ac:dyDescent="0.2">
      <c r="A259" t="s">
        <v>256</v>
      </c>
      <c r="B259">
        <v>2</v>
      </c>
      <c r="C259" t="s">
        <v>11</v>
      </c>
      <c r="D259">
        <v>2</v>
      </c>
      <c r="E259">
        <v>11</v>
      </c>
      <c r="F259">
        <v>12.1</v>
      </c>
      <c r="G259">
        <v>-1.1000000000000001</v>
      </c>
      <c r="H259">
        <v>1</v>
      </c>
      <c r="I259" t="s">
        <v>166</v>
      </c>
      <c r="J259" t="s">
        <v>209</v>
      </c>
      <c r="K259">
        <v>0</v>
      </c>
    </row>
    <row r="260" spans="1:11" x14ac:dyDescent="0.2">
      <c r="A260" t="s">
        <v>256</v>
      </c>
      <c r="B260">
        <v>2</v>
      </c>
      <c r="C260" t="s">
        <v>12</v>
      </c>
      <c r="D260">
        <v>1</v>
      </c>
      <c r="E260">
        <v>5</v>
      </c>
      <c r="F260">
        <v>5</v>
      </c>
      <c r="G260">
        <v>0</v>
      </c>
      <c r="H260">
        <v>1</v>
      </c>
      <c r="I260" t="s">
        <v>69</v>
      </c>
      <c r="J260" t="s">
        <v>69</v>
      </c>
      <c r="K260">
        <v>0</v>
      </c>
    </row>
    <row r="261" spans="1:11" x14ac:dyDescent="0.2">
      <c r="A261" t="s">
        <v>256</v>
      </c>
      <c r="B261">
        <v>2</v>
      </c>
      <c r="C261" t="s">
        <v>13</v>
      </c>
      <c r="D261">
        <v>1</v>
      </c>
      <c r="E261">
        <v>6</v>
      </c>
      <c r="F261">
        <v>6</v>
      </c>
      <c r="G261">
        <v>0</v>
      </c>
      <c r="H261">
        <v>1</v>
      </c>
      <c r="I261" t="s">
        <v>232</v>
      </c>
      <c r="J261" t="s">
        <v>232</v>
      </c>
      <c r="K261">
        <v>0</v>
      </c>
    </row>
    <row r="262" spans="1:11" x14ac:dyDescent="0.2">
      <c r="A262" t="s">
        <v>256</v>
      </c>
      <c r="B262">
        <v>3</v>
      </c>
      <c r="C262" t="s">
        <v>4</v>
      </c>
      <c r="D262">
        <v>1</v>
      </c>
      <c r="E262">
        <v>3.76</v>
      </c>
      <c r="F262">
        <v>3.76</v>
      </c>
      <c r="G262">
        <v>0</v>
      </c>
      <c r="H262">
        <v>1</v>
      </c>
      <c r="I262" t="s">
        <v>258</v>
      </c>
      <c r="J262" t="s">
        <v>258</v>
      </c>
      <c r="K262">
        <v>0</v>
      </c>
    </row>
    <row r="263" spans="1:11" x14ac:dyDescent="0.2">
      <c r="A263" t="s">
        <v>256</v>
      </c>
      <c r="B263">
        <v>3</v>
      </c>
      <c r="C263" t="s">
        <v>5</v>
      </c>
      <c r="D263">
        <v>1</v>
      </c>
      <c r="E263">
        <v>7.9</v>
      </c>
      <c r="F263">
        <v>7.9</v>
      </c>
      <c r="G263">
        <v>0</v>
      </c>
      <c r="H263">
        <v>1</v>
      </c>
      <c r="I263" t="s">
        <v>208</v>
      </c>
      <c r="J263" t="s">
        <v>208</v>
      </c>
      <c r="K263">
        <v>0</v>
      </c>
    </row>
    <row r="264" spans="1:11" x14ac:dyDescent="0.2">
      <c r="A264" t="s">
        <v>256</v>
      </c>
      <c r="B264">
        <v>3</v>
      </c>
      <c r="C264" t="s">
        <v>5</v>
      </c>
      <c r="D264">
        <v>2</v>
      </c>
      <c r="E264">
        <v>5.6</v>
      </c>
      <c r="F264">
        <v>5.6</v>
      </c>
      <c r="G264">
        <v>0</v>
      </c>
      <c r="H264">
        <v>1</v>
      </c>
      <c r="I264" t="s">
        <v>316</v>
      </c>
      <c r="J264" t="s">
        <v>316</v>
      </c>
      <c r="K264">
        <v>0</v>
      </c>
    </row>
    <row r="265" spans="1:11" x14ac:dyDescent="0.2">
      <c r="A265" t="s">
        <v>256</v>
      </c>
      <c r="B265">
        <v>3</v>
      </c>
      <c r="C265" t="s">
        <v>6</v>
      </c>
      <c r="D265">
        <v>1</v>
      </c>
      <c r="E265">
        <v>19.100000000000001</v>
      </c>
      <c r="F265">
        <v>17.2</v>
      </c>
      <c r="G265">
        <v>1.9</v>
      </c>
      <c r="H265">
        <v>1</v>
      </c>
      <c r="I265" t="s">
        <v>94</v>
      </c>
      <c r="J265" t="s">
        <v>166</v>
      </c>
      <c r="K265">
        <v>0</v>
      </c>
    </row>
    <row r="266" spans="1:11" x14ac:dyDescent="0.2">
      <c r="A266" t="s">
        <v>256</v>
      </c>
      <c r="B266">
        <v>3</v>
      </c>
      <c r="C266" t="s">
        <v>6</v>
      </c>
      <c r="D266">
        <v>2</v>
      </c>
      <c r="E266">
        <v>17.2</v>
      </c>
      <c r="F266">
        <v>6.1</v>
      </c>
      <c r="G266">
        <v>11.1</v>
      </c>
      <c r="H266">
        <v>1</v>
      </c>
      <c r="I266" t="s">
        <v>95</v>
      </c>
      <c r="J266" t="s">
        <v>94</v>
      </c>
      <c r="K266">
        <v>0</v>
      </c>
    </row>
    <row r="267" spans="1:11" x14ac:dyDescent="0.2">
      <c r="A267" t="s">
        <v>256</v>
      </c>
      <c r="B267">
        <v>3</v>
      </c>
      <c r="C267" t="s">
        <v>9</v>
      </c>
      <c r="D267">
        <v>1</v>
      </c>
      <c r="E267">
        <v>4.0999999999999996</v>
      </c>
      <c r="F267">
        <v>4.0999999999999996</v>
      </c>
      <c r="G267">
        <v>0</v>
      </c>
      <c r="H267">
        <v>0</v>
      </c>
      <c r="I267" t="s">
        <v>28</v>
      </c>
      <c r="J267" t="s">
        <v>28</v>
      </c>
      <c r="K267">
        <v>4.0999999999999996</v>
      </c>
    </row>
    <row r="268" spans="1:11" x14ac:dyDescent="0.2">
      <c r="A268" t="s">
        <v>256</v>
      </c>
      <c r="B268">
        <v>3</v>
      </c>
      <c r="C268" t="s">
        <v>11</v>
      </c>
      <c r="D268">
        <v>1</v>
      </c>
      <c r="E268">
        <v>6.1</v>
      </c>
      <c r="F268">
        <v>19.100000000000001</v>
      </c>
      <c r="G268">
        <v>-13</v>
      </c>
      <c r="H268">
        <v>1</v>
      </c>
      <c r="I268" t="s">
        <v>166</v>
      </c>
      <c r="J268" t="s">
        <v>95</v>
      </c>
      <c r="K268">
        <v>0</v>
      </c>
    </row>
    <row r="269" spans="1:11" x14ac:dyDescent="0.2">
      <c r="A269" t="s">
        <v>256</v>
      </c>
      <c r="B269">
        <v>3</v>
      </c>
      <c r="C269" t="s">
        <v>11</v>
      </c>
      <c r="D269">
        <v>2</v>
      </c>
      <c r="E269">
        <v>5.3</v>
      </c>
      <c r="F269">
        <v>5.3</v>
      </c>
      <c r="G269">
        <v>0</v>
      </c>
      <c r="H269">
        <v>1</v>
      </c>
      <c r="I269" t="s">
        <v>26</v>
      </c>
      <c r="J269" t="s">
        <v>26</v>
      </c>
      <c r="K269">
        <v>0</v>
      </c>
    </row>
    <row r="270" spans="1:11" x14ac:dyDescent="0.2">
      <c r="A270" t="s">
        <v>256</v>
      </c>
      <c r="B270">
        <v>3</v>
      </c>
      <c r="C270" t="s">
        <v>12</v>
      </c>
      <c r="D270">
        <v>1</v>
      </c>
      <c r="E270">
        <v>7</v>
      </c>
      <c r="F270">
        <v>7</v>
      </c>
      <c r="G270">
        <v>0</v>
      </c>
      <c r="H270">
        <v>0</v>
      </c>
      <c r="I270" t="s">
        <v>227</v>
      </c>
      <c r="J270" t="s">
        <v>227</v>
      </c>
      <c r="K270">
        <v>7</v>
      </c>
    </row>
    <row r="271" spans="1:11" x14ac:dyDescent="0.2">
      <c r="A271" t="s">
        <v>256</v>
      </c>
      <c r="B271">
        <v>3</v>
      </c>
      <c r="C271" t="s">
        <v>13</v>
      </c>
      <c r="D271">
        <v>1</v>
      </c>
      <c r="E271">
        <v>5</v>
      </c>
      <c r="F271">
        <v>5</v>
      </c>
      <c r="G271">
        <v>0</v>
      </c>
      <c r="H271">
        <v>1</v>
      </c>
      <c r="I271" t="s">
        <v>232</v>
      </c>
      <c r="J271" t="s">
        <v>232</v>
      </c>
      <c r="K271">
        <v>0</v>
      </c>
    </row>
    <row r="272" spans="1:11" x14ac:dyDescent="0.2">
      <c r="A272" t="s">
        <v>343</v>
      </c>
      <c r="B272">
        <v>1</v>
      </c>
      <c r="C272" t="s">
        <v>4</v>
      </c>
      <c r="D272">
        <v>1</v>
      </c>
      <c r="E272">
        <v>24.96</v>
      </c>
      <c r="F272">
        <v>24.96</v>
      </c>
      <c r="G272">
        <v>0</v>
      </c>
      <c r="H272">
        <v>1</v>
      </c>
      <c r="I272" t="s">
        <v>103</v>
      </c>
      <c r="J272" t="s">
        <v>103</v>
      </c>
      <c r="K272">
        <v>0</v>
      </c>
    </row>
    <row r="273" spans="1:11" x14ac:dyDescent="0.2">
      <c r="A273" t="s">
        <v>343</v>
      </c>
      <c r="B273">
        <v>1</v>
      </c>
      <c r="C273" t="s">
        <v>5</v>
      </c>
      <c r="D273">
        <v>1</v>
      </c>
      <c r="E273">
        <v>34.799999999999997</v>
      </c>
      <c r="F273">
        <v>34.799999999999997</v>
      </c>
      <c r="G273">
        <v>0</v>
      </c>
      <c r="H273">
        <v>1</v>
      </c>
      <c r="I273" t="s">
        <v>65</v>
      </c>
      <c r="J273" t="s">
        <v>65</v>
      </c>
      <c r="K273">
        <v>0</v>
      </c>
    </row>
    <row r="274" spans="1:11" x14ac:dyDescent="0.2">
      <c r="A274" t="s">
        <v>343</v>
      </c>
      <c r="B274">
        <v>1</v>
      </c>
      <c r="C274" t="s">
        <v>5</v>
      </c>
      <c r="D274">
        <v>2</v>
      </c>
      <c r="E274">
        <v>8.6</v>
      </c>
      <c r="F274">
        <v>8.6</v>
      </c>
      <c r="G274">
        <v>0</v>
      </c>
      <c r="H274">
        <v>1</v>
      </c>
      <c r="I274" t="s">
        <v>215</v>
      </c>
      <c r="J274" t="s">
        <v>215</v>
      </c>
      <c r="K274">
        <v>0</v>
      </c>
    </row>
    <row r="275" spans="1:11" x14ac:dyDescent="0.2">
      <c r="A275" t="s">
        <v>343</v>
      </c>
      <c r="B275">
        <v>1</v>
      </c>
      <c r="C275" t="s">
        <v>6</v>
      </c>
      <c r="D275">
        <v>1</v>
      </c>
      <c r="E275">
        <v>8</v>
      </c>
      <c r="F275">
        <v>8</v>
      </c>
      <c r="G275">
        <v>0</v>
      </c>
      <c r="H275">
        <v>1</v>
      </c>
      <c r="I275" t="s">
        <v>317</v>
      </c>
      <c r="J275" t="s">
        <v>317</v>
      </c>
      <c r="K275">
        <v>0</v>
      </c>
    </row>
    <row r="276" spans="1:11" x14ac:dyDescent="0.2">
      <c r="A276" t="s">
        <v>343</v>
      </c>
      <c r="B276">
        <v>1</v>
      </c>
      <c r="C276" t="s">
        <v>6</v>
      </c>
      <c r="D276">
        <v>2</v>
      </c>
      <c r="E276">
        <v>5.8</v>
      </c>
      <c r="F276">
        <v>5.8</v>
      </c>
      <c r="G276">
        <v>0</v>
      </c>
      <c r="H276">
        <v>1</v>
      </c>
      <c r="I276" t="s">
        <v>491</v>
      </c>
      <c r="J276" t="s">
        <v>491</v>
      </c>
      <c r="K276">
        <v>0</v>
      </c>
    </row>
    <row r="277" spans="1:11" x14ac:dyDescent="0.2">
      <c r="A277" t="s">
        <v>343</v>
      </c>
      <c r="B277">
        <v>1</v>
      </c>
      <c r="C277" t="s">
        <v>9</v>
      </c>
      <c r="D277">
        <v>1</v>
      </c>
      <c r="E277">
        <v>1.6</v>
      </c>
      <c r="F277">
        <v>1.6</v>
      </c>
      <c r="G277">
        <v>0</v>
      </c>
      <c r="H277">
        <v>1</v>
      </c>
      <c r="I277" t="s">
        <v>185</v>
      </c>
      <c r="J277" t="s">
        <v>185</v>
      </c>
      <c r="K277">
        <v>0</v>
      </c>
    </row>
    <row r="278" spans="1:11" x14ac:dyDescent="0.2">
      <c r="A278" t="s">
        <v>343</v>
      </c>
      <c r="B278">
        <v>1</v>
      </c>
      <c r="C278" t="s">
        <v>11</v>
      </c>
      <c r="D278">
        <v>1</v>
      </c>
      <c r="E278">
        <v>6.5</v>
      </c>
      <c r="F278">
        <v>4.5</v>
      </c>
      <c r="G278">
        <v>2</v>
      </c>
      <c r="H278">
        <v>1</v>
      </c>
      <c r="I278" t="s">
        <v>332</v>
      </c>
      <c r="J278" t="s">
        <v>164</v>
      </c>
      <c r="K278">
        <v>0</v>
      </c>
    </row>
    <row r="279" spans="1:11" x14ac:dyDescent="0.2">
      <c r="A279" t="s">
        <v>343</v>
      </c>
      <c r="B279">
        <v>1</v>
      </c>
      <c r="C279" t="s">
        <v>11</v>
      </c>
      <c r="D279">
        <v>2</v>
      </c>
      <c r="E279">
        <v>4.5</v>
      </c>
      <c r="F279">
        <v>1</v>
      </c>
      <c r="G279">
        <v>3.5</v>
      </c>
      <c r="H279">
        <v>1</v>
      </c>
      <c r="I279" t="s">
        <v>492</v>
      </c>
      <c r="J279" t="s">
        <v>332</v>
      </c>
      <c r="K279">
        <v>0</v>
      </c>
    </row>
    <row r="280" spans="1:11" x14ac:dyDescent="0.2">
      <c r="A280" t="s">
        <v>343</v>
      </c>
      <c r="B280">
        <v>1</v>
      </c>
      <c r="C280" t="s">
        <v>12</v>
      </c>
      <c r="D280">
        <v>1</v>
      </c>
      <c r="E280">
        <v>-4</v>
      </c>
      <c r="F280">
        <v>-4</v>
      </c>
      <c r="G280">
        <v>0</v>
      </c>
      <c r="H280">
        <v>1</v>
      </c>
      <c r="I280" t="s">
        <v>254</v>
      </c>
      <c r="J280" t="s">
        <v>254</v>
      </c>
      <c r="K280">
        <v>0</v>
      </c>
    </row>
    <row r="281" spans="1:11" x14ac:dyDescent="0.2">
      <c r="A281" t="s">
        <v>343</v>
      </c>
      <c r="B281">
        <v>1</v>
      </c>
      <c r="C281" t="s">
        <v>13</v>
      </c>
      <c r="D281">
        <v>1</v>
      </c>
      <c r="E281">
        <v>2</v>
      </c>
      <c r="F281">
        <v>2</v>
      </c>
      <c r="G281">
        <v>0</v>
      </c>
      <c r="H281">
        <v>1</v>
      </c>
      <c r="I281" t="s">
        <v>236</v>
      </c>
      <c r="J281" t="s">
        <v>236</v>
      </c>
      <c r="K281">
        <v>0</v>
      </c>
    </row>
    <row r="282" spans="1:11" x14ac:dyDescent="0.2">
      <c r="A282" t="s">
        <v>343</v>
      </c>
      <c r="B282">
        <v>2</v>
      </c>
      <c r="C282" t="s">
        <v>4</v>
      </c>
      <c r="D282">
        <v>1</v>
      </c>
      <c r="E282">
        <v>29.76</v>
      </c>
      <c r="F282">
        <v>14.8</v>
      </c>
      <c r="G282">
        <v>14.96</v>
      </c>
      <c r="H282">
        <v>1</v>
      </c>
      <c r="I282" t="s">
        <v>103</v>
      </c>
      <c r="J282" t="s">
        <v>42</v>
      </c>
      <c r="K282">
        <v>0</v>
      </c>
    </row>
    <row r="283" spans="1:11" x14ac:dyDescent="0.2">
      <c r="A283" t="s">
        <v>343</v>
      </c>
      <c r="B283">
        <v>2</v>
      </c>
      <c r="C283" t="s">
        <v>5</v>
      </c>
      <c r="D283">
        <v>1</v>
      </c>
      <c r="E283">
        <v>16.2</v>
      </c>
      <c r="F283">
        <v>16.2</v>
      </c>
      <c r="G283">
        <v>0</v>
      </c>
      <c r="H283">
        <v>1</v>
      </c>
      <c r="I283" t="s">
        <v>65</v>
      </c>
      <c r="J283" t="s">
        <v>65</v>
      </c>
      <c r="K283">
        <v>0</v>
      </c>
    </row>
    <row r="284" spans="1:11" x14ac:dyDescent="0.2">
      <c r="A284" t="s">
        <v>343</v>
      </c>
      <c r="B284">
        <v>2</v>
      </c>
      <c r="C284" t="s">
        <v>5</v>
      </c>
      <c r="D284">
        <v>2</v>
      </c>
      <c r="E284">
        <v>10.8</v>
      </c>
      <c r="F284">
        <v>10.8</v>
      </c>
      <c r="G284">
        <v>0</v>
      </c>
      <c r="H284">
        <v>1</v>
      </c>
      <c r="I284" t="s">
        <v>215</v>
      </c>
      <c r="J284" t="s">
        <v>215</v>
      </c>
      <c r="K284">
        <v>0</v>
      </c>
    </row>
    <row r="285" spans="1:11" x14ac:dyDescent="0.2">
      <c r="A285" t="s">
        <v>343</v>
      </c>
      <c r="B285">
        <v>2</v>
      </c>
      <c r="C285" t="s">
        <v>6</v>
      </c>
      <c r="D285">
        <v>1</v>
      </c>
      <c r="E285">
        <v>12.6</v>
      </c>
      <c r="F285">
        <v>12.6</v>
      </c>
      <c r="G285">
        <v>0</v>
      </c>
      <c r="H285">
        <v>1</v>
      </c>
      <c r="I285" t="s">
        <v>317</v>
      </c>
      <c r="J285" t="s">
        <v>317</v>
      </c>
      <c r="K285">
        <v>0</v>
      </c>
    </row>
    <row r="286" spans="1:11" x14ac:dyDescent="0.2">
      <c r="A286" t="s">
        <v>343</v>
      </c>
      <c r="B286">
        <v>2</v>
      </c>
      <c r="C286" t="s">
        <v>6</v>
      </c>
      <c r="D286">
        <v>2</v>
      </c>
      <c r="E286">
        <v>4.2</v>
      </c>
      <c r="F286">
        <v>4.2</v>
      </c>
      <c r="G286">
        <v>0</v>
      </c>
      <c r="H286">
        <v>1</v>
      </c>
      <c r="I286" t="s">
        <v>491</v>
      </c>
      <c r="J286" t="s">
        <v>491</v>
      </c>
      <c r="K286">
        <v>0</v>
      </c>
    </row>
    <row r="287" spans="1:11" x14ac:dyDescent="0.2">
      <c r="A287" t="s">
        <v>343</v>
      </c>
      <c r="B287">
        <v>2</v>
      </c>
      <c r="C287" t="s">
        <v>9</v>
      </c>
      <c r="D287">
        <v>1</v>
      </c>
      <c r="E287">
        <v>18.3</v>
      </c>
      <c r="F287">
        <v>18.3</v>
      </c>
      <c r="G287">
        <v>0</v>
      </c>
      <c r="H287">
        <v>1</v>
      </c>
      <c r="I287" t="s">
        <v>185</v>
      </c>
      <c r="J287" t="s">
        <v>185</v>
      </c>
      <c r="K287">
        <v>0</v>
      </c>
    </row>
    <row r="288" spans="1:11" x14ac:dyDescent="0.2">
      <c r="A288" t="s">
        <v>343</v>
      </c>
      <c r="B288">
        <v>2</v>
      </c>
      <c r="C288" t="s">
        <v>11</v>
      </c>
      <c r="D288">
        <v>1</v>
      </c>
      <c r="E288">
        <v>14.4</v>
      </c>
      <c r="F288">
        <v>6</v>
      </c>
      <c r="G288">
        <v>8.4</v>
      </c>
      <c r="H288">
        <v>1</v>
      </c>
      <c r="I288" t="s">
        <v>332</v>
      </c>
      <c r="J288" t="s">
        <v>493</v>
      </c>
      <c r="K288">
        <v>0</v>
      </c>
    </row>
    <row r="289" spans="1:11" x14ac:dyDescent="0.2">
      <c r="A289" t="s">
        <v>343</v>
      </c>
      <c r="B289">
        <v>2</v>
      </c>
      <c r="C289" t="s">
        <v>11</v>
      </c>
      <c r="D289">
        <v>2</v>
      </c>
      <c r="E289">
        <v>6</v>
      </c>
      <c r="F289">
        <v>1.4</v>
      </c>
      <c r="G289">
        <v>4.5999999999999996</v>
      </c>
      <c r="H289">
        <v>1</v>
      </c>
      <c r="I289" t="s">
        <v>492</v>
      </c>
      <c r="J289" t="s">
        <v>332</v>
      </c>
      <c r="K289">
        <v>0</v>
      </c>
    </row>
    <row r="290" spans="1:11" x14ac:dyDescent="0.2">
      <c r="A290" t="s">
        <v>343</v>
      </c>
      <c r="B290">
        <v>2</v>
      </c>
      <c r="C290" t="s">
        <v>12</v>
      </c>
      <c r="D290">
        <v>1</v>
      </c>
      <c r="E290">
        <v>7</v>
      </c>
      <c r="F290">
        <v>7</v>
      </c>
      <c r="G290">
        <v>0</v>
      </c>
      <c r="H290">
        <v>1</v>
      </c>
      <c r="I290" t="s">
        <v>254</v>
      </c>
      <c r="J290" t="s">
        <v>254</v>
      </c>
      <c r="K290">
        <v>0</v>
      </c>
    </row>
    <row r="291" spans="1:11" x14ac:dyDescent="0.2">
      <c r="A291" t="s">
        <v>343</v>
      </c>
      <c r="B291">
        <v>2</v>
      </c>
      <c r="C291" t="s">
        <v>13</v>
      </c>
      <c r="D291">
        <v>1</v>
      </c>
      <c r="E291">
        <v>1</v>
      </c>
      <c r="F291">
        <v>1</v>
      </c>
      <c r="G291">
        <v>0</v>
      </c>
      <c r="H291">
        <v>1</v>
      </c>
      <c r="I291" t="s">
        <v>236</v>
      </c>
      <c r="J291" t="s">
        <v>236</v>
      </c>
      <c r="K291">
        <v>0</v>
      </c>
    </row>
    <row r="292" spans="1:11" x14ac:dyDescent="0.2">
      <c r="A292" t="s">
        <v>343</v>
      </c>
      <c r="B292">
        <v>3</v>
      </c>
      <c r="C292" t="s">
        <v>4</v>
      </c>
      <c r="D292">
        <v>1</v>
      </c>
      <c r="E292">
        <v>20.440000000000001</v>
      </c>
      <c r="F292">
        <v>20.440000000000001</v>
      </c>
      <c r="G292">
        <v>0</v>
      </c>
      <c r="H292">
        <v>1</v>
      </c>
      <c r="I292" t="s">
        <v>103</v>
      </c>
      <c r="J292" t="s">
        <v>103</v>
      </c>
      <c r="K292">
        <v>0</v>
      </c>
    </row>
    <row r="293" spans="1:11" x14ac:dyDescent="0.2">
      <c r="A293" t="s">
        <v>343</v>
      </c>
      <c r="B293">
        <v>3</v>
      </c>
      <c r="C293" t="s">
        <v>5</v>
      </c>
      <c r="D293">
        <v>1</v>
      </c>
      <c r="E293">
        <v>21.4</v>
      </c>
      <c r="F293">
        <v>21.4</v>
      </c>
      <c r="G293">
        <v>0</v>
      </c>
      <c r="H293">
        <v>1</v>
      </c>
      <c r="I293" t="s">
        <v>65</v>
      </c>
      <c r="J293" t="s">
        <v>65</v>
      </c>
      <c r="K293">
        <v>0</v>
      </c>
    </row>
    <row r="294" spans="1:11" x14ac:dyDescent="0.2">
      <c r="A294" t="s">
        <v>343</v>
      </c>
      <c r="B294">
        <v>3</v>
      </c>
      <c r="C294" t="s">
        <v>5</v>
      </c>
      <c r="D294">
        <v>2</v>
      </c>
      <c r="E294">
        <v>8.6</v>
      </c>
      <c r="F294">
        <v>1.7</v>
      </c>
      <c r="G294">
        <v>6.9</v>
      </c>
      <c r="H294">
        <v>1</v>
      </c>
      <c r="I294" t="s">
        <v>215</v>
      </c>
      <c r="J294" t="s">
        <v>332</v>
      </c>
      <c r="K294">
        <v>0</v>
      </c>
    </row>
    <row r="295" spans="1:11" x14ac:dyDescent="0.2">
      <c r="A295" t="s">
        <v>343</v>
      </c>
      <c r="B295">
        <v>3</v>
      </c>
      <c r="C295" t="s">
        <v>6</v>
      </c>
      <c r="D295">
        <v>1</v>
      </c>
      <c r="E295">
        <v>8.8000000000000007</v>
      </c>
      <c r="F295">
        <v>8.8000000000000007</v>
      </c>
      <c r="G295">
        <v>0</v>
      </c>
      <c r="H295">
        <v>1</v>
      </c>
      <c r="I295" t="s">
        <v>491</v>
      </c>
      <c r="J295" t="s">
        <v>491</v>
      </c>
      <c r="K295">
        <v>0</v>
      </c>
    </row>
    <row r="296" spans="1:11" x14ac:dyDescent="0.2">
      <c r="A296" t="s">
        <v>343</v>
      </c>
      <c r="B296">
        <v>3</v>
      </c>
      <c r="C296" t="s">
        <v>6</v>
      </c>
      <c r="D296">
        <v>2</v>
      </c>
      <c r="E296">
        <v>4.4000000000000004</v>
      </c>
      <c r="F296">
        <v>2.7</v>
      </c>
      <c r="G296">
        <v>1.7</v>
      </c>
      <c r="H296">
        <v>1</v>
      </c>
      <c r="I296" t="s">
        <v>317</v>
      </c>
      <c r="J296" t="s">
        <v>492</v>
      </c>
      <c r="K296">
        <v>0</v>
      </c>
    </row>
    <row r="297" spans="1:11" x14ac:dyDescent="0.2">
      <c r="A297" t="s">
        <v>343</v>
      </c>
      <c r="B297">
        <v>3</v>
      </c>
      <c r="C297" t="s">
        <v>9</v>
      </c>
      <c r="D297">
        <v>1</v>
      </c>
      <c r="E297">
        <v>7.8</v>
      </c>
      <c r="F297">
        <v>7.8</v>
      </c>
      <c r="G297">
        <v>0</v>
      </c>
      <c r="H297">
        <v>1</v>
      </c>
      <c r="I297" t="s">
        <v>185</v>
      </c>
      <c r="J297" t="s">
        <v>185</v>
      </c>
      <c r="K297">
        <v>0</v>
      </c>
    </row>
    <row r="298" spans="1:11" x14ac:dyDescent="0.2">
      <c r="A298" t="s">
        <v>343</v>
      </c>
      <c r="B298">
        <v>3</v>
      </c>
      <c r="C298" t="s">
        <v>11</v>
      </c>
      <c r="D298">
        <v>1</v>
      </c>
      <c r="E298">
        <v>2.7</v>
      </c>
      <c r="F298">
        <v>8.6</v>
      </c>
      <c r="G298">
        <v>-5.9</v>
      </c>
      <c r="H298">
        <v>1</v>
      </c>
      <c r="I298" t="s">
        <v>332</v>
      </c>
      <c r="J298" t="s">
        <v>317</v>
      </c>
      <c r="K298">
        <v>0</v>
      </c>
    </row>
    <row r="299" spans="1:11" x14ac:dyDescent="0.2">
      <c r="A299" t="s">
        <v>343</v>
      </c>
      <c r="B299">
        <v>3</v>
      </c>
      <c r="C299" t="s">
        <v>11</v>
      </c>
      <c r="D299">
        <v>2</v>
      </c>
      <c r="E299">
        <v>1.9</v>
      </c>
      <c r="F299">
        <v>4.4000000000000004</v>
      </c>
      <c r="G299">
        <v>-2.5</v>
      </c>
      <c r="H299">
        <v>1</v>
      </c>
      <c r="I299" t="s">
        <v>492</v>
      </c>
      <c r="J299" t="s">
        <v>164</v>
      </c>
      <c r="K299">
        <v>0</v>
      </c>
    </row>
    <row r="300" spans="1:11" x14ac:dyDescent="0.2">
      <c r="A300" t="s">
        <v>343</v>
      </c>
      <c r="B300">
        <v>3</v>
      </c>
      <c r="C300" t="s">
        <v>12</v>
      </c>
      <c r="D300">
        <v>1</v>
      </c>
      <c r="E300">
        <v>10</v>
      </c>
      <c r="F300">
        <v>10</v>
      </c>
      <c r="G300">
        <v>0</v>
      </c>
      <c r="H300">
        <v>1</v>
      </c>
      <c r="I300" t="s">
        <v>254</v>
      </c>
      <c r="J300" t="s">
        <v>254</v>
      </c>
      <c r="K300">
        <v>0</v>
      </c>
    </row>
    <row r="301" spans="1:11" x14ac:dyDescent="0.2">
      <c r="A301" t="s">
        <v>343</v>
      </c>
      <c r="B301">
        <v>3</v>
      </c>
      <c r="C301" t="s">
        <v>13</v>
      </c>
      <c r="D301">
        <v>1</v>
      </c>
      <c r="E301">
        <v>9</v>
      </c>
      <c r="F301">
        <v>9</v>
      </c>
      <c r="G301">
        <v>0</v>
      </c>
      <c r="H301">
        <v>1</v>
      </c>
      <c r="I301" t="s">
        <v>236</v>
      </c>
      <c r="J301" t="s">
        <v>236</v>
      </c>
      <c r="K301">
        <v>0</v>
      </c>
    </row>
    <row r="302" spans="1:11" x14ac:dyDescent="0.2">
      <c r="A302" t="s">
        <v>308</v>
      </c>
      <c r="B302">
        <v>1</v>
      </c>
      <c r="C302" t="s">
        <v>4</v>
      </c>
      <c r="D302">
        <v>1</v>
      </c>
      <c r="E302">
        <v>21.66</v>
      </c>
      <c r="F302">
        <v>19.48</v>
      </c>
      <c r="G302">
        <v>2.1800000000000002</v>
      </c>
      <c r="H302">
        <v>1</v>
      </c>
      <c r="I302" t="s">
        <v>233</v>
      </c>
      <c r="J302" t="s">
        <v>82</v>
      </c>
      <c r="K302">
        <v>0</v>
      </c>
    </row>
    <row r="303" spans="1:11" x14ac:dyDescent="0.2">
      <c r="A303" t="s">
        <v>308</v>
      </c>
      <c r="B303">
        <v>1</v>
      </c>
      <c r="C303" t="s">
        <v>5</v>
      </c>
      <c r="D303">
        <v>1</v>
      </c>
      <c r="E303">
        <v>9.3000000000000007</v>
      </c>
      <c r="F303">
        <v>9.3000000000000007</v>
      </c>
      <c r="G303">
        <v>0</v>
      </c>
      <c r="H303">
        <v>1</v>
      </c>
      <c r="I303" t="s">
        <v>327</v>
      </c>
      <c r="J303" t="s">
        <v>327</v>
      </c>
      <c r="K303">
        <v>0</v>
      </c>
    </row>
    <row r="304" spans="1:11" x14ac:dyDescent="0.2">
      <c r="A304" t="s">
        <v>308</v>
      </c>
      <c r="B304">
        <v>1</v>
      </c>
      <c r="C304" t="s">
        <v>5</v>
      </c>
      <c r="D304">
        <v>2</v>
      </c>
      <c r="E304">
        <v>6.8</v>
      </c>
      <c r="F304">
        <v>6.8</v>
      </c>
      <c r="G304">
        <v>0</v>
      </c>
      <c r="H304">
        <v>1</v>
      </c>
      <c r="I304" t="s">
        <v>496</v>
      </c>
      <c r="J304" t="s">
        <v>496</v>
      </c>
      <c r="K304">
        <v>0</v>
      </c>
    </row>
    <row r="305" spans="1:11" x14ac:dyDescent="0.2">
      <c r="A305" t="s">
        <v>308</v>
      </c>
      <c r="B305">
        <v>1</v>
      </c>
      <c r="C305" t="s">
        <v>6</v>
      </c>
      <c r="D305">
        <v>1</v>
      </c>
      <c r="E305">
        <v>23.7</v>
      </c>
      <c r="F305">
        <v>23.7</v>
      </c>
      <c r="G305">
        <v>0</v>
      </c>
      <c r="H305">
        <v>1</v>
      </c>
      <c r="I305" t="s">
        <v>77</v>
      </c>
      <c r="J305" t="s">
        <v>77</v>
      </c>
      <c r="K305">
        <v>0</v>
      </c>
    </row>
    <row r="306" spans="1:11" x14ac:dyDescent="0.2">
      <c r="A306" t="s">
        <v>308</v>
      </c>
      <c r="B306">
        <v>1</v>
      </c>
      <c r="C306" t="s">
        <v>6</v>
      </c>
      <c r="D306">
        <v>2</v>
      </c>
      <c r="E306">
        <v>16.8</v>
      </c>
      <c r="F306">
        <v>4.0999999999999996</v>
      </c>
      <c r="G306">
        <v>12.7</v>
      </c>
      <c r="H306">
        <v>1</v>
      </c>
      <c r="I306" t="s">
        <v>29</v>
      </c>
      <c r="J306" t="s">
        <v>342</v>
      </c>
      <c r="K306">
        <v>0</v>
      </c>
    </row>
    <row r="307" spans="1:11" x14ac:dyDescent="0.2">
      <c r="A307" t="s">
        <v>308</v>
      </c>
      <c r="B307">
        <v>1</v>
      </c>
      <c r="C307" t="s">
        <v>9</v>
      </c>
      <c r="D307">
        <v>1</v>
      </c>
      <c r="E307">
        <v>23.8</v>
      </c>
      <c r="F307">
        <v>23.8</v>
      </c>
      <c r="G307">
        <v>0</v>
      </c>
      <c r="H307">
        <v>1</v>
      </c>
      <c r="I307" t="s">
        <v>162</v>
      </c>
      <c r="J307" t="s">
        <v>162</v>
      </c>
      <c r="K307">
        <v>0</v>
      </c>
    </row>
    <row r="308" spans="1:11" x14ac:dyDescent="0.2">
      <c r="A308" t="s">
        <v>308</v>
      </c>
      <c r="B308">
        <v>1</v>
      </c>
      <c r="C308" t="s">
        <v>11</v>
      </c>
      <c r="D308">
        <v>1</v>
      </c>
      <c r="E308">
        <v>15.5</v>
      </c>
      <c r="F308">
        <v>16.8</v>
      </c>
      <c r="G308">
        <v>-1.3</v>
      </c>
      <c r="H308">
        <v>1</v>
      </c>
      <c r="I308" t="s">
        <v>342</v>
      </c>
      <c r="J308" t="s">
        <v>189</v>
      </c>
      <c r="K308">
        <v>0</v>
      </c>
    </row>
    <row r="309" spans="1:11" x14ac:dyDescent="0.2">
      <c r="A309" t="s">
        <v>308</v>
      </c>
      <c r="B309">
        <v>1</v>
      </c>
      <c r="C309" t="s">
        <v>11</v>
      </c>
      <c r="D309">
        <v>2</v>
      </c>
      <c r="E309">
        <v>12.5</v>
      </c>
      <c r="F309">
        <v>12.5</v>
      </c>
      <c r="G309">
        <v>0</v>
      </c>
      <c r="H309">
        <v>1</v>
      </c>
      <c r="I309" t="s">
        <v>312</v>
      </c>
      <c r="J309" t="s">
        <v>312</v>
      </c>
      <c r="K309">
        <v>0</v>
      </c>
    </row>
    <row r="310" spans="1:11" x14ac:dyDescent="0.2">
      <c r="A310" t="s">
        <v>308</v>
      </c>
      <c r="B310">
        <v>1</v>
      </c>
      <c r="C310" t="s">
        <v>12</v>
      </c>
      <c r="D310">
        <v>1</v>
      </c>
      <c r="E310">
        <v>14</v>
      </c>
      <c r="F310">
        <v>14</v>
      </c>
      <c r="G310">
        <v>0</v>
      </c>
      <c r="H310">
        <v>1</v>
      </c>
      <c r="I310" t="s">
        <v>159</v>
      </c>
      <c r="J310" t="s">
        <v>159</v>
      </c>
      <c r="K310">
        <v>0</v>
      </c>
    </row>
    <row r="311" spans="1:11" x14ac:dyDescent="0.2">
      <c r="A311" t="s">
        <v>308</v>
      </c>
      <c r="B311">
        <v>1</v>
      </c>
      <c r="C311" t="s">
        <v>13</v>
      </c>
      <c r="D311">
        <v>1</v>
      </c>
      <c r="E311">
        <v>7</v>
      </c>
      <c r="F311">
        <v>7</v>
      </c>
      <c r="G311">
        <v>0</v>
      </c>
      <c r="H311">
        <v>1</v>
      </c>
      <c r="I311" t="s">
        <v>223</v>
      </c>
      <c r="J311" t="s">
        <v>223</v>
      </c>
      <c r="K311">
        <v>0</v>
      </c>
    </row>
    <row r="312" spans="1:11" x14ac:dyDescent="0.2">
      <c r="A312" t="s">
        <v>308</v>
      </c>
      <c r="B312">
        <v>2</v>
      </c>
      <c r="C312" t="s">
        <v>4</v>
      </c>
      <c r="D312">
        <v>1</v>
      </c>
      <c r="E312">
        <v>28.98</v>
      </c>
      <c r="F312">
        <v>28.98</v>
      </c>
      <c r="G312">
        <v>0</v>
      </c>
      <c r="H312">
        <v>1</v>
      </c>
      <c r="I312" t="s">
        <v>82</v>
      </c>
      <c r="J312" t="s">
        <v>82</v>
      </c>
      <c r="K312">
        <v>0</v>
      </c>
    </row>
    <row r="313" spans="1:11" x14ac:dyDescent="0.2">
      <c r="A313" t="s">
        <v>308</v>
      </c>
      <c r="B313">
        <v>2</v>
      </c>
      <c r="C313" t="s">
        <v>5</v>
      </c>
      <c r="D313">
        <v>1</v>
      </c>
      <c r="E313">
        <v>13.2</v>
      </c>
      <c r="F313">
        <v>13.2</v>
      </c>
      <c r="G313">
        <v>0</v>
      </c>
      <c r="H313">
        <v>1</v>
      </c>
      <c r="I313" t="s">
        <v>327</v>
      </c>
      <c r="J313" t="s">
        <v>327</v>
      </c>
      <c r="K313">
        <v>0</v>
      </c>
    </row>
    <row r="314" spans="1:11" x14ac:dyDescent="0.2">
      <c r="A314" t="s">
        <v>308</v>
      </c>
      <c r="B314">
        <v>2</v>
      </c>
      <c r="C314" t="s">
        <v>5</v>
      </c>
      <c r="D314">
        <v>2</v>
      </c>
      <c r="E314">
        <v>4.5</v>
      </c>
      <c r="F314">
        <v>4.5</v>
      </c>
      <c r="G314">
        <v>0</v>
      </c>
      <c r="H314">
        <v>1</v>
      </c>
      <c r="I314" t="s">
        <v>496</v>
      </c>
      <c r="J314" t="s">
        <v>496</v>
      </c>
      <c r="K314">
        <v>0</v>
      </c>
    </row>
    <row r="315" spans="1:11" x14ac:dyDescent="0.2">
      <c r="A315" t="s">
        <v>308</v>
      </c>
      <c r="B315">
        <v>2</v>
      </c>
      <c r="C315" t="s">
        <v>6</v>
      </c>
      <c r="D315">
        <v>1</v>
      </c>
      <c r="E315">
        <v>30.7</v>
      </c>
      <c r="F315">
        <v>30.7</v>
      </c>
      <c r="G315">
        <v>0</v>
      </c>
      <c r="H315">
        <v>1</v>
      </c>
      <c r="I315" t="s">
        <v>77</v>
      </c>
      <c r="J315" t="s">
        <v>77</v>
      </c>
      <c r="K315">
        <v>0</v>
      </c>
    </row>
    <row r="316" spans="1:11" x14ac:dyDescent="0.2">
      <c r="A316" t="s">
        <v>308</v>
      </c>
      <c r="B316">
        <v>2</v>
      </c>
      <c r="C316" t="s">
        <v>6</v>
      </c>
      <c r="D316">
        <v>2</v>
      </c>
      <c r="E316">
        <v>13.3</v>
      </c>
      <c r="F316">
        <v>13.3</v>
      </c>
      <c r="G316">
        <v>0</v>
      </c>
      <c r="H316">
        <v>1</v>
      </c>
      <c r="I316" t="s">
        <v>342</v>
      </c>
      <c r="J316" t="s">
        <v>342</v>
      </c>
      <c r="K316">
        <v>0</v>
      </c>
    </row>
    <row r="317" spans="1:11" x14ac:dyDescent="0.2">
      <c r="A317" t="s">
        <v>308</v>
      </c>
      <c r="B317">
        <v>2</v>
      </c>
      <c r="C317" t="s">
        <v>9</v>
      </c>
      <c r="D317">
        <v>1</v>
      </c>
      <c r="E317">
        <v>19</v>
      </c>
      <c r="F317">
        <v>5.8</v>
      </c>
      <c r="G317">
        <v>13.2</v>
      </c>
      <c r="H317">
        <v>1</v>
      </c>
      <c r="I317" t="s">
        <v>162</v>
      </c>
      <c r="J317" t="s">
        <v>189</v>
      </c>
      <c r="K317">
        <v>0</v>
      </c>
    </row>
    <row r="318" spans="1:11" x14ac:dyDescent="0.2">
      <c r="A318" t="s">
        <v>308</v>
      </c>
      <c r="B318">
        <v>2</v>
      </c>
      <c r="C318" t="s">
        <v>11</v>
      </c>
      <c r="D318">
        <v>1</v>
      </c>
      <c r="E318">
        <v>7.8</v>
      </c>
      <c r="F318">
        <v>19</v>
      </c>
      <c r="G318">
        <v>-11.2</v>
      </c>
      <c r="H318">
        <v>1</v>
      </c>
      <c r="I318" t="s">
        <v>189</v>
      </c>
      <c r="J318" t="s">
        <v>312</v>
      </c>
      <c r="K318">
        <v>0</v>
      </c>
    </row>
    <row r="319" spans="1:11" x14ac:dyDescent="0.2">
      <c r="A319" t="s">
        <v>308</v>
      </c>
      <c r="B319">
        <v>2</v>
      </c>
      <c r="C319" t="s">
        <v>11</v>
      </c>
      <c r="D319">
        <v>2</v>
      </c>
      <c r="E319">
        <v>5.8</v>
      </c>
      <c r="F319">
        <v>7.8</v>
      </c>
      <c r="G319">
        <v>-2</v>
      </c>
      <c r="H319">
        <v>1</v>
      </c>
      <c r="I319" t="s">
        <v>312</v>
      </c>
      <c r="J319" t="s">
        <v>162</v>
      </c>
      <c r="K319">
        <v>0</v>
      </c>
    </row>
    <row r="320" spans="1:11" x14ac:dyDescent="0.2">
      <c r="A320" t="s">
        <v>308</v>
      </c>
      <c r="B320">
        <v>2</v>
      </c>
      <c r="C320" t="s">
        <v>12</v>
      </c>
      <c r="D320">
        <v>1</v>
      </c>
      <c r="E320">
        <v>1</v>
      </c>
      <c r="F320">
        <v>1</v>
      </c>
      <c r="G320">
        <v>0</v>
      </c>
      <c r="H320">
        <v>1</v>
      </c>
      <c r="I320" t="s">
        <v>159</v>
      </c>
      <c r="J320" t="s">
        <v>159</v>
      </c>
      <c r="K320">
        <v>0</v>
      </c>
    </row>
    <row r="321" spans="1:11" x14ac:dyDescent="0.2">
      <c r="A321" t="s">
        <v>308</v>
      </c>
      <c r="B321">
        <v>2</v>
      </c>
      <c r="C321" t="s">
        <v>13</v>
      </c>
      <c r="D321">
        <v>1</v>
      </c>
      <c r="E321">
        <v>7</v>
      </c>
      <c r="F321">
        <v>7</v>
      </c>
      <c r="G321">
        <v>0</v>
      </c>
      <c r="H321">
        <v>1</v>
      </c>
      <c r="I321" t="s">
        <v>223</v>
      </c>
      <c r="J321" t="s">
        <v>223</v>
      </c>
      <c r="K321">
        <v>0</v>
      </c>
    </row>
    <row r="322" spans="1:11" x14ac:dyDescent="0.2">
      <c r="A322" t="s">
        <v>308</v>
      </c>
      <c r="B322">
        <v>3</v>
      </c>
      <c r="C322" t="s">
        <v>4</v>
      </c>
      <c r="D322">
        <v>1</v>
      </c>
      <c r="E322">
        <v>18.48</v>
      </c>
      <c r="F322">
        <v>15.94</v>
      </c>
      <c r="G322">
        <v>2.54</v>
      </c>
      <c r="H322">
        <v>1</v>
      </c>
      <c r="I322" t="s">
        <v>82</v>
      </c>
      <c r="J322" t="s">
        <v>233</v>
      </c>
      <c r="K322">
        <v>0</v>
      </c>
    </row>
    <row r="323" spans="1:11" x14ac:dyDescent="0.2">
      <c r="A323" t="s">
        <v>308</v>
      </c>
      <c r="B323">
        <v>3</v>
      </c>
      <c r="C323" t="s">
        <v>5</v>
      </c>
      <c r="D323">
        <v>1</v>
      </c>
      <c r="E323">
        <v>16</v>
      </c>
      <c r="F323">
        <v>16</v>
      </c>
      <c r="G323">
        <v>0</v>
      </c>
      <c r="H323">
        <v>1</v>
      </c>
      <c r="I323" t="s">
        <v>327</v>
      </c>
      <c r="J323" t="s">
        <v>327</v>
      </c>
      <c r="K323">
        <v>0</v>
      </c>
    </row>
    <row r="324" spans="1:11" x14ac:dyDescent="0.2">
      <c r="A324" t="s">
        <v>308</v>
      </c>
      <c r="B324">
        <v>3</v>
      </c>
      <c r="C324" t="s">
        <v>5</v>
      </c>
      <c r="D324">
        <v>2</v>
      </c>
      <c r="E324">
        <v>0.7</v>
      </c>
      <c r="F324">
        <v>0.7</v>
      </c>
      <c r="G324">
        <v>0</v>
      </c>
      <c r="H324">
        <v>1</v>
      </c>
      <c r="I324" t="s">
        <v>496</v>
      </c>
      <c r="J324" t="s">
        <v>496</v>
      </c>
      <c r="K324">
        <v>0</v>
      </c>
    </row>
    <row r="325" spans="1:11" x14ac:dyDescent="0.2">
      <c r="A325" t="s">
        <v>308</v>
      </c>
      <c r="B325">
        <v>3</v>
      </c>
      <c r="C325" t="s">
        <v>6</v>
      </c>
      <c r="D325">
        <v>1</v>
      </c>
      <c r="E325">
        <v>18.5</v>
      </c>
      <c r="F325">
        <v>11.5</v>
      </c>
      <c r="G325">
        <v>7</v>
      </c>
      <c r="H325">
        <v>1</v>
      </c>
      <c r="I325" t="s">
        <v>342</v>
      </c>
      <c r="J325" t="s">
        <v>312</v>
      </c>
      <c r="K325">
        <v>0</v>
      </c>
    </row>
    <row r="326" spans="1:11" x14ac:dyDescent="0.2">
      <c r="A326" t="s">
        <v>308</v>
      </c>
      <c r="B326">
        <v>3</v>
      </c>
      <c r="C326" t="s">
        <v>6</v>
      </c>
      <c r="D326">
        <v>2</v>
      </c>
      <c r="E326">
        <v>11.5</v>
      </c>
      <c r="F326">
        <v>9.9</v>
      </c>
      <c r="G326">
        <v>1.6</v>
      </c>
      <c r="H326">
        <v>1</v>
      </c>
      <c r="I326" t="s">
        <v>77</v>
      </c>
      <c r="J326" t="s">
        <v>342</v>
      </c>
      <c r="K326">
        <v>0</v>
      </c>
    </row>
    <row r="327" spans="1:11" x14ac:dyDescent="0.2">
      <c r="A327" t="s">
        <v>308</v>
      </c>
      <c r="B327">
        <v>3</v>
      </c>
      <c r="C327" t="s">
        <v>9</v>
      </c>
      <c r="D327">
        <v>1</v>
      </c>
      <c r="E327">
        <v>2.8</v>
      </c>
      <c r="F327">
        <v>2.8</v>
      </c>
      <c r="G327">
        <v>0</v>
      </c>
      <c r="H327">
        <v>1</v>
      </c>
      <c r="I327" t="s">
        <v>189</v>
      </c>
      <c r="J327" t="s">
        <v>189</v>
      </c>
      <c r="K327">
        <v>0</v>
      </c>
    </row>
    <row r="328" spans="1:11" x14ac:dyDescent="0.2">
      <c r="A328" t="s">
        <v>308</v>
      </c>
      <c r="B328">
        <v>3</v>
      </c>
      <c r="C328" t="s">
        <v>11</v>
      </c>
      <c r="D328">
        <v>1</v>
      </c>
      <c r="E328">
        <v>9.9</v>
      </c>
      <c r="F328">
        <v>18.5</v>
      </c>
      <c r="G328">
        <v>-8.6</v>
      </c>
      <c r="H328">
        <v>1</v>
      </c>
      <c r="I328" t="s">
        <v>312</v>
      </c>
      <c r="J328" t="s">
        <v>77</v>
      </c>
      <c r="K328">
        <v>0</v>
      </c>
    </row>
    <row r="329" spans="1:11" x14ac:dyDescent="0.2">
      <c r="A329" t="s">
        <v>308</v>
      </c>
      <c r="B329">
        <v>3</v>
      </c>
      <c r="C329" t="s">
        <v>11</v>
      </c>
      <c r="D329">
        <v>2</v>
      </c>
      <c r="E329">
        <v>2.2999999999999998</v>
      </c>
      <c r="F329">
        <v>2.2999999999999998</v>
      </c>
      <c r="G329">
        <v>0</v>
      </c>
      <c r="H329">
        <v>1</v>
      </c>
      <c r="I329" t="s">
        <v>162</v>
      </c>
      <c r="J329" t="s">
        <v>162</v>
      </c>
      <c r="K329">
        <v>0</v>
      </c>
    </row>
    <row r="330" spans="1:11" x14ac:dyDescent="0.2">
      <c r="A330" t="s">
        <v>308</v>
      </c>
      <c r="B330">
        <v>3</v>
      </c>
      <c r="C330" t="s">
        <v>12</v>
      </c>
      <c r="D330">
        <v>1</v>
      </c>
      <c r="E330">
        <v>7</v>
      </c>
      <c r="F330">
        <v>7</v>
      </c>
      <c r="G330">
        <v>0</v>
      </c>
      <c r="H330">
        <v>1</v>
      </c>
      <c r="I330" t="s">
        <v>159</v>
      </c>
      <c r="J330" t="s">
        <v>159</v>
      </c>
      <c r="K330">
        <v>0</v>
      </c>
    </row>
    <row r="331" spans="1:11" x14ac:dyDescent="0.2">
      <c r="A331" t="s">
        <v>308</v>
      </c>
      <c r="B331">
        <v>3</v>
      </c>
      <c r="C331" t="s">
        <v>13</v>
      </c>
      <c r="D331">
        <v>1</v>
      </c>
      <c r="E331">
        <v>1</v>
      </c>
      <c r="F331">
        <v>1</v>
      </c>
      <c r="G331">
        <v>0</v>
      </c>
      <c r="H331">
        <v>0</v>
      </c>
      <c r="I331" t="s">
        <v>534</v>
      </c>
      <c r="J331" t="s">
        <v>534</v>
      </c>
      <c r="K331">
        <v>1</v>
      </c>
    </row>
    <row r="332" spans="1:11" x14ac:dyDescent="0.2">
      <c r="A332" t="s">
        <v>494</v>
      </c>
      <c r="B332">
        <v>1</v>
      </c>
      <c r="C332" t="s">
        <v>4</v>
      </c>
      <c r="D332">
        <v>1</v>
      </c>
      <c r="E332">
        <v>26.1</v>
      </c>
      <c r="F332">
        <v>26.1</v>
      </c>
      <c r="G332">
        <v>0</v>
      </c>
      <c r="H332">
        <v>1</v>
      </c>
      <c r="I332" t="s">
        <v>118</v>
      </c>
      <c r="J332" t="s">
        <v>118</v>
      </c>
      <c r="K332">
        <v>0</v>
      </c>
    </row>
    <row r="333" spans="1:11" x14ac:dyDescent="0.2">
      <c r="A333" t="s">
        <v>494</v>
      </c>
      <c r="B333">
        <v>1</v>
      </c>
      <c r="C333" t="s">
        <v>5</v>
      </c>
      <c r="D333">
        <v>1</v>
      </c>
      <c r="E333">
        <v>14.1</v>
      </c>
      <c r="F333">
        <v>14.1</v>
      </c>
      <c r="G333">
        <v>0</v>
      </c>
      <c r="H333">
        <v>1</v>
      </c>
      <c r="I333" t="s">
        <v>325</v>
      </c>
      <c r="J333" t="s">
        <v>325</v>
      </c>
      <c r="K333">
        <v>0</v>
      </c>
    </row>
    <row r="334" spans="1:11" x14ac:dyDescent="0.2">
      <c r="A334" t="s">
        <v>494</v>
      </c>
      <c r="B334">
        <v>1</v>
      </c>
      <c r="C334" t="s">
        <v>5</v>
      </c>
      <c r="D334">
        <v>2</v>
      </c>
      <c r="E334">
        <v>11.9</v>
      </c>
      <c r="F334">
        <v>8.5</v>
      </c>
      <c r="G334">
        <v>3.4</v>
      </c>
      <c r="H334">
        <v>1</v>
      </c>
      <c r="I334" t="s">
        <v>74</v>
      </c>
      <c r="J334" t="s">
        <v>231</v>
      </c>
      <c r="K334">
        <v>0</v>
      </c>
    </row>
    <row r="335" spans="1:11" x14ac:dyDescent="0.2">
      <c r="A335" t="s">
        <v>494</v>
      </c>
      <c r="B335">
        <v>1</v>
      </c>
      <c r="C335" t="s">
        <v>6</v>
      </c>
      <c r="D335">
        <v>1</v>
      </c>
      <c r="E335">
        <v>16.7</v>
      </c>
      <c r="F335">
        <v>16.7</v>
      </c>
      <c r="G335">
        <v>0</v>
      </c>
      <c r="H335">
        <v>1</v>
      </c>
      <c r="I335" t="s">
        <v>238</v>
      </c>
      <c r="J335" t="s">
        <v>238</v>
      </c>
      <c r="K335">
        <v>0</v>
      </c>
    </row>
    <row r="336" spans="1:11" x14ac:dyDescent="0.2">
      <c r="A336" t="s">
        <v>494</v>
      </c>
      <c r="B336">
        <v>1</v>
      </c>
      <c r="C336" t="s">
        <v>6</v>
      </c>
      <c r="D336">
        <v>2</v>
      </c>
      <c r="E336">
        <v>15</v>
      </c>
      <c r="F336">
        <v>4.5</v>
      </c>
      <c r="G336">
        <v>10.5</v>
      </c>
      <c r="H336">
        <v>1</v>
      </c>
      <c r="I336" t="s">
        <v>117</v>
      </c>
      <c r="J336" t="s">
        <v>213</v>
      </c>
      <c r="K336">
        <v>0</v>
      </c>
    </row>
    <row r="337" spans="1:11" x14ac:dyDescent="0.2">
      <c r="A337" t="s">
        <v>494</v>
      </c>
      <c r="B337">
        <v>1</v>
      </c>
      <c r="C337" t="s">
        <v>9</v>
      </c>
      <c r="D337">
        <v>1</v>
      </c>
      <c r="E337">
        <v>11.6</v>
      </c>
      <c r="F337">
        <v>11.6</v>
      </c>
      <c r="G337">
        <v>0</v>
      </c>
      <c r="H337">
        <v>1</v>
      </c>
      <c r="I337" t="s">
        <v>115</v>
      </c>
      <c r="J337" t="s">
        <v>115</v>
      </c>
      <c r="K337">
        <v>0</v>
      </c>
    </row>
    <row r="338" spans="1:11" x14ac:dyDescent="0.2">
      <c r="A338" t="s">
        <v>494</v>
      </c>
      <c r="B338">
        <v>1</v>
      </c>
      <c r="C338" t="s">
        <v>11</v>
      </c>
      <c r="D338">
        <v>1</v>
      </c>
      <c r="E338">
        <v>8.5</v>
      </c>
      <c r="F338">
        <v>6</v>
      </c>
      <c r="G338">
        <v>2.5</v>
      </c>
      <c r="H338">
        <v>1</v>
      </c>
      <c r="I338" t="s">
        <v>76</v>
      </c>
      <c r="J338" t="s">
        <v>74</v>
      </c>
      <c r="K338">
        <v>0</v>
      </c>
    </row>
    <row r="339" spans="1:11" x14ac:dyDescent="0.2">
      <c r="A339" t="s">
        <v>494</v>
      </c>
      <c r="B339">
        <v>1</v>
      </c>
      <c r="C339" t="s">
        <v>11</v>
      </c>
      <c r="D339">
        <v>2</v>
      </c>
      <c r="E339">
        <v>6</v>
      </c>
      <c r="F339">
        <v>3.9</v>
      </c>
      <c r="G339">
        <v>2.1</v>
      </c>
      <c r="H339">
        <v>1</v>
      </c>
      <c r="I339" t="s">
        <v>45</v>
      </c>
      <c r="J339" t="s">
        <v>76</v>
      </c>
      <c r="K339">
        <v>0</v>
      </c>
    </row>
    <row r="340" spans="1:11" x14ac:dyDescent="0.2">
      <c r="A340" t="s">
        <v>494</v>
      </c>
      <c r="B340">
        <v>1</v>
      </c>
      <c r="C340" t="s">
        <v>12</v>
      </c>
      <c r="D340">
        <v>1</v>
      </c>
      <c r="E340">
        <v>5</v>
      </c>
      <c r="F340">
        <v>5</v>
      </c>
      <c r="G340">
        <v>0</v>
      </c>
      <c r="H340">
        <v>1</v>
      </c>
      <c r="I340" t="s">
        <v>227</v>
      </c>
      <c r="J340" t="s">
        <v>227</v>
      </c>
      <c r="K340">
        <v>0</v>
      </c>
    </row>
    <row r="341" spans="1:11" x14ac:dyDescent="0.2">
      <c r="A341" t="s">
        <v>494</v>
      </c>
      <c r="B341">
        <v>1</v>
      </c>
      <c r="C341" t="s">
        <v>13</v>
      </c>
      <c r="D341">
        <v>1</v>
      </c>
      <c r="E341">
        <v>14</v>
      </c>
      <c r="F341">
        <v>14</v>
      </c>
      <c r="G341">
        <v>0</v>
      </c>
      <c r="H341">
        <v>1</v>
      </c>
      <c r="I341" t="s">
        <v>330</v>
      </c>
      <c r="J341" t="s">
        <v>330</v>
      </c>
      <c r="K341">
        <v>0</v>
      </c>
    </row>
    <row r="342" spans="1:11" x14ac:dyDescent="0.2">
      <c r="A342" t="s">
        <v>494</v>
      </c>
      <c r="B342">
        <v>2</v>
      </c>
      <c r="C342" t="s">
        <v>4</v>
      </c>
      <c r="D342">
        <v>1</v>
      </c>
      <c r="E342">
        <v>6.16</v>
      </c>
      <c r="F342">
        <v>6.16</v>
      </c>
      <c r="G342">
        <v>0</v>
      </c>
      <c r="H342">
        <v>1</v>
      </c>
      <c r="I342" t="s">
        <v>118</v>
      </c>
      <c r="J342" t="s">
        <v>118</v>
      </c>
      <c r="K342">
        <v>0</v>
      </c>
    </row>
    <row r="343" spans="1:11" x14ac:dyDescent="0.2">
      <c r="A343" t="s">
        <v>494</v>
      </c>
      <c r="B343">
        <v>2</v>
      </c>
      <c r="C343" t="s">
        <v>5</v>
      </c>
      <c r="D343">
        <v>1</v>
      </c>
      <c r="E343">
        <v>7.5</v>
      </c>
      <c r="F343">
        <v>7.5</v>
      </c>
      <c r="G343">
        <v>0</v>
      </c>
      <c r="H343">
        <v>1</v>
      </c>
      <c r="I343" t="s">
        <v>325</v>
      </c>
      <c r="J343" t="s">
        <v>325</v>
      </c>
      <c r="K343">
        <v>0</v>
      </c>
    </row>
    <row r="344" spans="1:11" x14ac:dyDescent="0.2">
      <c r="A344" t="s">
        <v>494</v>
      </c>
      <c r="B344">
        <v>2</v>
      </c>
      <c r="C344" t="s">
        <v>5</v>
      </c>
      <c r="D344">
        <v>2</v>
      </c>
      <c r="E344">
        <v>7</v>
      </c>
      <c r="F344">
        <v>2.5</v>
      </c>
      <c r="G344">
        <v>4.5</v>
      </c>
      <c r="H344">
        <v>1</v>
      </c>
      <c r="I344" t="s">
        <v>74</v>
      </c>
      <c r="J344" t="s">
        <v>45</v>
      </c>
      <c r="K344">
        <v>0</v>
      </c>
    </row>
    <row r="345" spans="1:11" x14ac:dyDescent="0.2">
      <c r="A345" t="s">
        <v>494</v>
      </c>
      <c r="B345">
        <v>2</v>
      </c>
      <c r="C345" t="s">
        <v>6</v>
      </c>
      <c r="D345">
        <v>1</v>
      </c>
      <c r="E345">
        <v>6.9</v>
      </c>
      <c r="F345">
        <v>6.9</v>
      </c>
      <c r="G345">
        <v>0</v>
      </c>
      <c r="H345">
        <v>1</v>
      </c>
      <c r="I345" t="s">
        <v>117</v>
      </c>
      <c r="J345" t="s">
        <v>117</v>
      </c>
      <c r="K345">
        <v>0</v>
      </c>
    </row>
    <row r="346" spans="1:11" x14ac:dyDescent="0.2">
      <c r="A346" t="s">
        <v>494</v>
      </c>
      <c r="B346">
        <v>2</v>
      </c>
      <c r="C346" t="s">
        <v>6</v>
      </c>
      <c r="D346">
        <v>2</v>
      </c>
      <c r="E346">
        <v>5.2</v>
      </c>
      <c r="F346">
        <v>5</v>
      </c>
      <c r="G346">
        <v>0.2</v>
      </c>
      <c r="H346">
        <v>1</v>
      </c>
      <c r="I346" t="s">
        <v>238</v>
      </c>
      <c r="J346" t="s">
        <v>498</v>
      </c>
      <c r="K346">
        <v>0</v>
      </c>
    </row>
    <row r="347" spans="1:11" x14ac:dyDescent="0.2">
      <c r="A347" t="s">
        <v>494</v>
      </c>
      <c r="B347">
        <v>2</v>
      </c>
      <c r="C347" t="s">
        <v>9</v>
      </c>
      <c r="D347">
        <v>1</v>
      </c>
      <c r="E347">
        <v>4.4000000000000004</v>
      </c>
      <c r="F347">
        <v>4.4000000000000004</v>
      </c>
      <c r="G347">
        <v>0</v>
      </c>
      <c r="H347">
        <v>1</v>
      </c>
      <c r="I347" t="s">
        <v>115</v>
      </c>
      <c r="J347" t="s">
        <v>115</v>
      </c>
      <c r="K347">
        <v>0</v>
      </c>
    </row>
    <row r="348" spans="1:11" x14ac:dyDescent="0.2">
      <c r="A348" t="s">
        <v>494</v>
      </c>
      <c r="B348">
        <v>2</v>
      </c>
      <c r="C348" t="s">
        <v>11</v>
      </c>
      <c r="D348">
        <v>1</v>
      </c>
      <c r="E348">
        <v>5</v>
      </c>
      <c r="F348">
        <v>7</v>
      </c>
      <c r="G348">
        <v>-2</v>
      </c>
      <c r="H348">
        <v>1</v>
      </c>
      <c r="I348" t="s">
        <v>45</v>
      </c>
      <c r="J348" t="s">
        <v>238</v>
      </c>
      <c r="K348">
        <v>0</v>
      </c>
    </row>
    <row r="349" spans="1:11" x14ac:dyDescent="0.2">
      <c r="A349" t="s">
        <v>494</v>
      </c>
      <c r="B349">
        <v>2</v>
      </c>
      <c r="C349" t="s">
        <v>11</v>
      </c>
      <c r="D349">
        <v>2</v>
      </c>
      <c r="E349">
        <v>5</v>
      </c>
      <c r="F349">
        <v>4.7</v>
      </c>
      <c r="G349">
        <v>0.3</v>
      </c>
      <c r="H349">
        <v>1</v>
      </c>
      <c r="I349" t="s">
        <v>76</v>
      </c>
      <c r="J349" t="s">
        <v>213</v>
      </c>
      <c r="K349">
        <v>0</v>
      </c>
    </row>
    <row r="350" spans="1:11" x14ac:dyDescent="0.2">
      <c r="A350" t="s">
        <v>494</v>
      </c>
      <c r="B350">
        <v>2</v>
      </c>
      <c r="C350" t="s">
        <v>12</v>
      </c>
      <c r="D350">
        <v>1</v>
      </c>
      <c r="E350">
        <v>7</v>
      </c>
      <c r="F350">
        <v>7</v>
      </c>
      <c r="G350">
        <v>0</v>
      </c>
      <c r="H350">
        <v>0</v>
      </c>
      <c r="I350" t="s">
        <v>421</v>
      </c>
      <c r="J350" t="s">
        <v>421</v>
      </c>
      <c r="K350">
        <v>7</v>
      </c>
    </row>
    <row r="351" spans="1:11" x14ac:dyDescent="0.2">
      <c r="A351" t="s">
        <v>494</v>
      </c>
      <c r="B351">
        <v>2</v>
      </c>
      <c r="C351" t="s">
        <v>13</v>
      </c>
      <c r="D351">
        <v>1</v>
      </c>
      <c r="E351">
        <v>5</v>
      </c>
      <c r="F351">
        <v>5</v>
      </c>
      <c r="G351">
        <v>0</v>
      </c>
      <c r="H351">
        <v>1</v>
      </c>
      <c r="I351" t="s">
        <v>330</v>
      </c>
      <c r="J351" t="s">
        <v>330</v>
      </c>
      <c r="K351">
        <v>0</v>
      </c>
    </row>
    <row r="352" spans="1:11" x14ac:dyDescent="0.2">
      <c r="A352" t="s">
        <v>494</v>
      </c>
      <c r="B352">
        <v>3</v>
      </c>
      <c r="C352" t="s">
        <v>4</v>
      </c>
      <c r="D352">
        <v>1</v>
      </c>
      <c r="E352">
        <v>19.78</v>
      </c>
      <c r="F352">
        <v>19.78</v>
      </c>
      <c r="G352">
        <v>0</v>
      </c>
      <c r="H352">
        <v>1</v>
      </c>
      <c r="I352" t="s">
        <v>118</v>
      </c>
      <c r="J352" t="s">
        <v>118</v>
      </c>
      <c r="K352">
        <v>0</v>
      </c>
    </row>
    <row r="353" spans="1:11" x14ac:dyDescent="0.2">
      <c r="A353" t="s">
        <v>494</v>
      </c>
      <c r="B353">
        <v>3</v>
      </c>
      <c r="C353" t="s">
        <v>5</v>
      </c>
      <c r="D353">
        <v>1</v>
      </c>
      <c r="E353">
        <v>11.6</v>
      </c>
      <c r="F353">
        <v>11.5</v>
      </c>
      <c r="G353">
        <v>9.9999999999999603E-2</v>
      </c>
      <c r="H353">
        <v>1</v>
      </c>
      <c r="I353" t="s">
        <v>325</v>
      </c>
      <c r="J353" t="s">
        <v>45</v>
      </c>
      <c r="K353">
        <v>0</v>
      </c>
    </row>
    <row r="354" spans="1:11" x14ac:dyDescent="0.2">
      <c r="A354" t="s">
        <v>494</v>
      </c>
      <c r="B354">
        <v>3</v>
      </c>
      <c r="C354" t="s">
        <v>5</v>
      </c>
      <c r="D354">
        <v>2</v>
      </c>
      <c r="E354">
        <v>11.5</v>
      </c>
      <c r="F354">
        <v>8.5</v>
      </c>
      <c r="G354">
        <v>3</v>
      </c>
      <c r="H354">
        <v>1</v>
      </c>
      <c r="I354" t="s">
        <v>74</v>
      </c>
      <c r="J354" t="s">
        <v>325</v>
      </c>
      <c r="K354">
        <v>0</v>
      </c>
    </row>
    <row r="355" spans="1:11" x14ac:dyDescent="0.2">
      <c r="A355" t="s">
        <v>494</v>
      </c>
      <c r="B355">
        <v>3</v>
      </c>
      <c r="C355" t="s">
        <v>6</v>
      </c>
      <c r="D355">
        <v>1</v>
      </c>
      <c r="E355">
        <v>23.9</v>
      </c>
      <c r="F355">
        <v>23.9</v>
      </c>
      <c r="G355">
        <v>0</v>
      </c>
      <c r="H355">
        <v>1</v>
      </c>
      <c r="I355" t="s">
        <v>117</v>
      </c>
      <c r="J355" t="s">
        <v>117</v>
      </c>
      <c r="K355">
        <v>0</v>
      </c>
    </row>
    <row r="356" spans="1:11" x14ac:dyDescent="0.2">
      <c r="A356" t="s">
        <v>494</v>
      </c>
      <c r="B356">
        <v>3</v>
      </c>
      <c r="C356" t="s">
        <v>6</v>
      </c>
      <c r="D356">
        <v>2</v>
      </c>
      <c r="E356">
        <v>15.4</v>
      </c>
      <c r="F356">
        <v>8.6</v>
      </c>
      <c r="G356">
        <v>6.8</v>
      </c>
      <c r="H356">
        <v>1</v>
      </c>
      <c r="I356" t="s">
        <v>238</v>
      </c>
      <c r="J356" t="s">
        <v>213</v>
      </c>
      <c r="K356">
        <v>0</v>
      </c>
    </row>
    <row r="357" spans="1:11" x14ac:dyDescent="0.2">
      <c r="A357" t="s">
        <v>494</v>
      </c>
      <c r="B357">
        <v>3</v>
      </c>
      <c r="C357" t="s">
        <v>9</v>
      </c>
      <c r="D357">
        <v>1</v>
      </c>
      <c r="E357">
        <v>2.1</v>
      </c>
      <c r="F357">
        <v>2.1</v>
      </c>
      <c r="G357">
        <v>0</v>
      </c>
      <c r="H357">
        <v>1</v>
      </c>
      <c r="I357" t="s">
        <v>115</v>
      </c>
      <c r="J357" t="s">
        <v>115</v>
      </c>
      <c r="K357">
        <v>0</v>
      </c>
    </row>
    <row r="358" spans="1:11" x14ac:dyDescent="0.2">
      <c r="A358" t="s">
        <v>494</v>
      </c>
      <c r="B358">
        <v>3</v>
      </c>
      <c r="C358" t="s">
        <v>11</v>
      </c>
      <c r="D358">
        <v>1</v>
      </c>
      <c r="E358">
        <v>10.6</v>
      </c>
      <c r="F358">
        <v>15.4</v>
      </c>
      <c r="G358">
        <v>-4.8</v>
      </c>
      <c r="H358">
        <v>1</v>
      </c>
      <c r="I358" t="s">
        <v>213</v>
      </c>
      <c r="J358" t="s">
        <v>76</v>
      </c>
      <c r="K358">
        <v>0</v>
      </c>
    </row>
    <row r="359" spans="1:11" x14ac:dyDescent="0.2">
      <c r="A359" t="s">
        <v>494</v>
      </c>
      <c r="B359">
        <v>3</v>
      </c>
      <c r="C359" t="s">
        <v>11</v>
      </c>
      <c r="D359">
        <v>2</v>
      </c>
      <c r="E359">
        <v>8.6</v>
      </c>
      <c r="F359">
        <v>11.6</v>
      </c>
      <c r="G359">
        <v>-3</v>
      </c>
      <c r="H359">
        <v>1</v>
      </c>
      <c r="I359" t="s">
        <v>45</v>
      </c>
      <c r="J359" t="s">
        <v>238</v>
      </c>
      <c r="K359">
        <v>0</v>
      </c>
    </row>
    <row r="360" spans="1:11" x14ac:dyDescent="0.2">
      <c r="A360" t="s">
        <v>494</v>
      </c>
      <c r="B360">
        <v>3</v>
      </c>
      <c r="C360" t="s">
        <v>12</v>
      </c>
      <c r="D360">
        <v>1</v>
      </c>
      <c r="E360">
        <v>-6</v>
      </c>
      <c r="F360">
        <v>-6</v>
      </c>
      <c r="G360">
        <v>0</v>
      </c>
      <c r="H360">
        <v>0</v>
      </c>
      <c r="I360" t="s">
        <v>421</v>
      </c>
      <c r="J360" t="s">
        <v>421</v>
      </c>
      <c r="K360">
        <v>-6</v>
      </c>
    </row>
    <row r="361" spans="1:11" x14ac:dyDescent="0.2">
      <c r="A361" t="s">
        <v>494</v>
      </c>
      <c r="B361">
        <v>3</v>
      </c>
      <c r="C361" t="s">
        <v>13</v>
      </c>
      <c r="D361">
        <v>1</v>
      </c>
      <c r="E361">
        <v>12</v>
      </c>
      <c r="F361">
        <v>12</v>
      </c>
      <c r="G361">
        <v>0</v>
      </c>
      <c r="H361">
        <v>1</v>
      </c>
      <c r="I361" t="s">
        <v>330</v>
      </c>
      <c r="J361" t="s">
        <v>330</v>
      </c>
      <c r="K361">
        <v>0</v>
      </c>
    </row>
    <row r="362" spans="1:11" x14ac:dyDescent="0.2">
      <c r="A362" t="s">
        <v>499</v>
      </c>
      <c r="B362">
        <v>1</v>
      </c>
      <c r="C362" t="s">
        <v>4</v>
      </c>
      <c r="D362">
        <v>1</v>
      </c>
      <c r="E362">
        <v>37.26</v>
      </c>
      <c r="F362">
        <v>37.26</v>
      </c>
      <c r="G362">
        <v>0</v>
      </c>
      <c r="H362">
        <v>1</v>
      </c>
      <c r="I362" t="s">
        <v>197</v>
      </c>
      <c r="J362" t="s">
        <v>197</v>
      </c>
      <c r="K362">
        <v>0</v>
      </c>
    </row>
    <row r="363" spans="1:11" x14ac:dyDescent="0.2">
      <c r="A363" t="s">
        <v>499</v>
      </c>
      <c r="B363">
        <v>1</v>
      </c>
      <c r="C363" t="s">
        <v>5</v>
      </c>
      <c r="D363">
        <v>1</v>
      </c>
      <c r="E363">
        <v>16.8</v>
      </c>
      <c r="F363">
        <v>16.8</v>
      </c>
      <c r="G363">
        <v>0</v>
      </c>
      <c r="H363">
        <v>1</v>
      </c>
      <c r="I363" t="s">
        <v>221</v>
      </c>
      <c r="J363" t="s">
        <v>221</v>
      </c>
      <c r="K363">
        <v>0</v>
      </c>
    </row>
    <row r="364" spans="1:11" x14ac:dyDescent="0.2">
      <c r="A364" t="s">
        <v>499</v>
      </c>
      <c r="B364">
        <v>1</v>
      </c>
      <c r="C364" t="s">
        <v>5</v>
      </c>
      <c r="D364">
        <v>2</v>
      </c>
      <c r="E364">
        <v>6</v>
      </c>
      <c r="F364">
        <v>6</v>
      </c>
      <c r="G364">
        <v>0</v>
      </c>
      <c r="H364">
        <v>1</v>
      </c>
      <c r="I364" t="s">
        <v>326</v>
      </c>
      <c r="J364" t="s">
        <v>326</v>
      </c>
      <c r="K364">
        <v>0</v>
      </c>
    </row>
    <row r="365" spans="1:11" x14ac:dyDescent="0.2">
      <c r="A365" t="s">
        <v>499</v>
      </c>
      <c r="B365">
        <v>1</v>
      </c>
      <c r="C365" t="s">
        <v>6</v>
      </c>
      <c r="D365">
        <v>1</v>
      </c>
      <c r="E365">
        <v>27.2</v>
      </c>
      <c r="F365">
        <v>27.2</v>
      </c>
      <c r="G365">
        <v>0</v>
      </c>
      <c r="H365">
        <v>1</v>
      </c>
      <c r="I365" t="s">
        <v>38</v>
      </c>
      <c r="J365" t="s">
        <v>38</v>
      </c>
      <c r="K365">
        <v>0</v>
      </c>
    </row>
    <row r="366" spans="1:11" x14ac:dyDescent="0.2">
      <c r="A366" t="s">
        <v>499</v>
      </c>
      <c r="B366">
        <v>1</v>
      </c>
      <c r="C366" t="s">
        <v>6</v>
      </c>
      <c r="D366">
        <v>2</v>
      </c>
      <c r="E366">
        <v>17.7</v>
      </c>
      <c r="F366">
        <v>17.7</v>
      </c>
      <c r="G366">
        <v>0</v>
      </c>
      <c r="H366">
        <v>1</v>
      </c>
      <c r="I366" t="s">
        <v>216</v>
      </c>
      <c r="J366" t="s">
        <v>216</v>
      </c>
      <c r="K366">
        <v>0</v>
      </c>
    </row>
    <row r="367" spans="1:11" x14ac:dyDescent="0.2">
      <c r="A367" t="s">
        <v>499</v>
      </c>
      <c r="B367">
        <v>1</v>
      </c>
      <c r="C367" t="s">
        <v>9</v>
      </c>
      <c r="D367">
        <v>1</v>
      </c>
      <c r="E367">
        <v>12.9</v>
      </c>
      <c r="F367">
        <v>12.9</v>
      </c>
      <c r="G367">
        <v>0</v>
      </c>
      <c r="H367">
        <v>1</v>
      </c>
      <c r="I367" t="s">
        <v>156</v>
      </c>
      <c r="J367" t="s">
        <v>156</v>
      </c>
      <c r="K367">
        <v>0</v>
      </c>
    </row>
    <row r="368" spans="1:11" x14ac:dyDescent="0.2">
      <c r="A368" t="s">
        <v>499</v>
      </c>
      <c r="B368">
        <v>1</v>
      </c>
      <c r="C368" t="s">
        <v>11</v>
      </c>
      <c r="D368">
        <v>1</v>
      </c>
      <c r="E368">
        <v>8.1</v>
      </c>
      <c r="F368">
        <v>8.1</v>
      </c>
      <c r="G368">
        <v>0</v>
      </c>
      <c r="H368">
        <v>1</v>
      </c>
      <c r="I368" t="s">
        <v>211</v>
      </c>
      <c r="J368" t="s">
        <v>211</v>
      </c>
      <c r="K368">
        <v>0</v>
      </c>
    </row>
    <row r="369" spans="1:11" x14ac:dyDescent="0.2">
      <c r="A369" t="s">
        <v>499</v>
      </c>
      <c r="B369">
        <v>1</v>
      </c>
      <c r="C369" t="s">
        <v>11</v>
      </c>
      <c r="D369">
        <v>2</v>
      </c>
      <c r="E369">
        <v>3.1</v>
      </c>
      <c r="F369">
        <v>2.2000000000000002</v>
      </c>
      <c r="G369">
        <v>0.9</v>
      </c>
      <c r="H369">
        <v>1</v>
      </c>
      <c r="I369" t="s">
        <v>98</v>
      </c>
      <c r="J369" t="s">
        <v>145</v>
      </c>
      <c r="K369">
        <v>0</v>
      </c>
    </row>
    <row r="370" spans="1:11" x14ac:dyDescent="0.2">
      <c r="A370" t="s">
        <v>499</v>
      </c>
      <c r="B370">
        <v>1</v>
      </c>
      <c r="C370" t="s">
        <v>12</v>
      </c>
      <c r="D370">
        <v>1</v>
      </c>
      <c r="E370">
        <v>14</v>
      </c>
      <c r="F370">
        <v>14</v>
      </c>
      <c r="G370">
        <v>0</v>
      </c>
      <c r="H370">
        <v>1</v>
      </c>
      <c r="I370" t="s">
        <v>169</v>
      </c>
      <c r="J370" t="s">
        <v>169</v>
      </c>
      <c r="K370">
        <v>0</v>
      </c>
    </row>
    <row r="371" spans="1:11" x14ac:dyDescent="0.2">
      <c r="A371" t="s">
        <v>499</v>
      </c>
      <c r="B371">
        <v>1</v>
      </c>
      <c r="C371" t="s">
        <v>13</v>
      </c>
      <c r="D371">
        <v>1</v>
      </c>
      <c r="E371">
        <v>2</v>
      </c>
      <c r="F371">
        <v>2</v>
      </c>
      <c r="G371">
        <v>0</v>
      </c>
      <c r="H371">
        <v>1</v>
      </c>
      <c r="I371" t="s">
        <v>228</v>
      </c>
      <c r="J371" t="s">
        <v>228</v>
      </c>
      <c r="K371">
        <v>0</v>
      </c>
    </row>
    <row r="372" spans="1:11" x14ac:dyDescent="0.2">
      <c r="A372" t="s">
        <v>499</v>
      </c>
      <c r="B372">
        <v>2</v>
      </c>
      <c r="C372" t="s">
        <v>4</v>
      </c>
      <c r="D372">
        <v>1</v>
      </c>
      <c r="E372">
        <v>12.18</v>
      </c>
      <c r="F372">
        <v>7.72</v>
      </c>
      <c r="G372">
        <v>4.46</v>
      </c>
      <c r="H372">
        <v>1</v>
      </c>
      <c r="I372" t="s">
        <v>197</v>
      </c>
      <c r="J372" t="s">
        <v>240</v>
      </c>
      <c r="K372">
        <v>0</v>
      </c>
    </row>
    <row r="373" spans="1:11" x14ac:dyDescent="0.2">
      <c r="A373" t="s">
        <v>499</v>
      </c>
      <c r="B373">
        <v>2</v>
      </c>
      <c r="C373" t="s">
        <v>5</v>
      </c>
      <c r="D373">
        <v>1</v>
      </c>
      <c r="E373">
        <v>11</v>
      </c>
      <c r="F373">
        <v>11</v>
      </c>
      <c r="G373">
        <v>0</v>
      </c>
      <c r="H373">
        <v>1</v>
      </c>
      <c r="I373" t="s">
        <v>221</v>
      </c>
      <c r="J373" t="s">
        <v>221</v>
      </c>
      <c r="K373">
        <v>0</v>
      </c>
    </row>
    <row r="374" spans="1:11" x14ac:dyDescent="0.2">
      <c r="A374" t="s">
        <v>499</v>
      </c>
      <c r="B374">
        <v>2</v>
      </c>
      <c r="C374" t="s">
        <v>5</v>
      </c>
      <c r="D374">
        <v>2</v>
      </c>
      <c r="E374">
        <v>7.7</v>
      </c>
      <c r="F374">
        <v>7.3</v>
      </c>
      <c r="G374">
        <v>0.4</v>
      </c>
      <c r="H374">
        <v>1</v>
      </c>
      <c r="I374" t="s">
        <v>326</v>
      </c>
      <c r="J374" t="s">
        <v>145</v>
      </c>
      <c r="K374">
        <v>0</v>
      </c>
    </row>
    <row r="375" spans="1:11" x14ac:dyDescent="0.2">
      <c r="A375" t="s">
        <v>499</v>
      </c>
      <c r="B375">
        <v>2</v>
      </c>
      <c r="C375" t="s">
        <v>6</v>
      </c>
      <c r="D375">
        <v>1</v>
      </c>
      <c r="E375">
        <v>7</v>
      </c>
      <c r="F375">
        <v>7</v>
      </c>
      <c r="G375">
        <v>0</v>
      </c>
      <c r="H375">
        <v>1</v>
      </c>
      <c r="I375" t="s">
        <v>38</v>
      </c>
      <c r="J375" t="s">
        <v>38</v>
      </c>
      <c r="K375">
        <v>0</v>
      </c>
    </row>
    <row r="376" spans="1:11" x14ac:dyDescent="0.2">
      <c r="A376" t="s">
        <v>499</v>
      </c>
      <c r="B376">
        <v>2</v>
      </c>
      <c r="C376" t="s">
        <v>6</v>
      </c>
      <c r="D376">
        <v>2</v>
      </c>
      <c r="E376">
        <v>5.2</v>
      </c>
      <c r="F376">
        <v>2.8</v>
      </c>
      <c r="G376">
        <v>2.4</v>
      </c>
      <c r="H376">
        <v>0</v>
      </c>
      <c r="I376" t="s">
        <v>458</v>
      </c>
      <c r="J376" t="s">
        <v>334</v>
      </c>
      <c r="K376">
        <v>2.8</v>
      </c>
    </row>
    <row r="377" spans="1:11" x14ac:dyDescent="0.2">
      <c r="A377" t="s">
        <v>499</v>
      </c>
      <c r="B377">
        <v>2</v>
      </c>
      <c r="C377" t="s">
        <v>9</v>
      </c>
      <c r="D377">
        <v>1</v>
      </c>
      <c r="E377">
        <v>16</v>
      </c>
      <c r="F377">
        <v>8.6</v>
      </c>
      <c r="G377">
        <v>7.4</v>
      </c>
      <c r="H377">
        <v>1</v>
      </c>
      <c r="I377" t="s">
        <v>156</v>
      </c>
      <c r="J377" t="s">
        <v>98</v>
      </c>
      <c r="K377">
        <v>0</v>
      </c>
    </row>
    <row r="378" spans="1:11" x14ac:dyDescent="0.2">
      <c r="A378" t="s">
        <v>499</v>
      </c>
      <c r="B378">
        <v>2</v>
      </c>
      <c r="C378" t="s">
        <v>11</v>
      </c>
      <c r="D378">
        <v>1</v>
      </c>
      <c r="E378">
        <v>8.6</v>
      </c>
      <c r="F378">
        <v>16</v>
      </c>
      <c r="G378">
        <v>-7.4</v>
      </c>
      <c r="H378">
        <v>1</v>
      </c>
      <c r="I378" t="s">
        <v>98</v>
      </c>
      <c r="J378" t="s">
        <v>156</v>
      </c>
      <c r="K378">
        <v>0</v>
      </c>
    </row>
    <row r="379" spans="1:11" x14ac:dyDescent="0.2">
      <c r="A379" t="s">
        <v>499</v>
      </c>
      <c r="B379">
        <v>2</v>
      </c>
      <c r="C379" t="s">
        <v>11</v>
      </c>
      <c r="D379">
        <v>2</v>
      </c>
      <c r="E379">
        <v>7.3</v>
      </c>
      <c r="F379">
        <v>5.2</v>
      </c>
      <c r="G379">
        <v>2.1</v>
      </c>
      <c r="H379">
        <v>1</v>
      </c>
      <c r="I379" t="s">
        <v>334</v>
      </c>
      <c r="J379" t="s">
        <v>326</v>
      </c>
      <c r="K379">
        <v>0</v>
      </c>
    </row>
    <row r="380" spans="1:11" x14ac:dyDescent="0.2">
      <c r="A380" t="s">
        <v>499</v>
      </c>
      <c r="B380">
        <v>2</v>
      </c>
      <c r="C380" t="s">
        <v>12</v>
      </c>
      <c r="D380">
        <v>1</v>
      </c>
      <c r="E380">
        <v>10</v>
      </c>
      <c r="F380">
        <v>10</v>
      </c>
      <c r="G380">
        <v>0</v>
      </c>
      <c r="H380">
        <v>1</v>
      </c>
      <c r="I380" t="s">
        <v>169</v>
      </c>
      <c r="J380" t="s">
        <v>169</v>
      </c>
      <c r="K380">
        <v>0</v>
      </c>
    </row>
    <row r="381" spans="1:11" x14ac:dyDescent="0.2">
      <c r="A381" t="s">
        <v>499</v>
      </c>
      <c r="B381">
        <v>2</v>
      </c>
      <c r="C381" t="s">
        <v>13</v>
      </c>
      <c r="D381">
        <v>1</v>
      </c>
      <c r="E381">
        <v>17</v>
      </c>
      <c r="F381">
        <v>17</v>
      </c>
      <c r="G381">
        <v>0</v>
      </c>
      <c r="H381">
        <v>1</v>
      </c>
      <c r="I381" t="s">
        <v>228</v>
      </c>
      <c r="J381" t="s">
        <v>228</v>
      </c>
      <c r="K381">
        <v>0</v>
      </c>
    </row>
    <row r="382" spans="1:11" x14ac:dyDescent="0.2">
      <c r="A382" t="s">
        <v>499</v>
      </c>
      <c r="B382">
        <v>3</v>
      </c>
      <c r="C382" t="s">
        <v>4</v>
      </c>
      <c r="D382">
        <v>1</v>
      </c>
      <c r="E382">
        <v>26.04</v>
      </c>
      <c r="F382">
        <v>26.04</v>
      </c>
      <c r="G382">
        <v>0</v>
      </c>
      <c r="H382">
        <v>0</v>
      </c>
      <c r="I382" t="s">
        <v>148</v>
      </c>
      <c r="J382" t="s">
        <v>148</v>
      </c>
      <c r="K382">
        <v>26.04</v>
      </c>
    </row>
    <row r="383" spans="1:11" x14ac:dyDescent="0.2">
      <c r="A383" t="s">
        <v>499</v>
      </c>
      <c r="B383">
        <v>3</v>
      </c>
      <c r="C383" t="s">
        <v>5</v>
      </c>
      <c r="D383">
        <v>1</v>
      </c>
      <c r="E383">
        <v>11</v>
      </c>
      <c r="F383">
        <v>8.9</v>
      </c>
      <c r="G383">
        <v>2.1</v>
      </c>
      <c r="H383">
        <v>1</v>
      </c>
      <c r="I383" t="s">
        <v>326</v>
      </c>
      <c r="J383" t="s">
        <v>145</v>
      </c>
      <c r="K383">
        <v>0</v>
      </c>
    </row>
    <row r="384" spans="1:11" x14ac:dyDescent="0.2">
      <c r="A384" t="s">
        <v>499</v>
      </c>
      <c r="B384">
        <v>3</v>
      </c>
      <c r="C384" t="s">
        <v>5</v>
      </c>
      <c r="D384">
        <v>2</v>
      </c>
      <c r="E384">
        <v>8.9</v>
      </c>
      <c r="F384">
        <v>6.8</v>
      </c>
      <c r="G384">
        <v>2.1</v>
      </c>
      <c r="H384">
        <v>1</v>
      </c>
      <c r="I384" t="s">
        <v>221</v>
      </c>
      <c r="J384" t="s">
        <v>326</v>
      </c>
      <c r="K384">
        <v>0</v>
      </c>
    </row>
    <row r="385" spans="1:11" x14ac:dyDescent="0.2">
      <c r="A385" t="s">
        <v>499</v>
      </c>
      <c r="B385">
        <v>3</v>
      </c>
      <c r="C385" t="s">
        <v>6</v>
      </c>
      <c r="D385">
        <v>1</v>
      </c>
      <c r="E385">
        <v>20.399999999999999</v>
      </c>
      <c r="F385">
        <v>11.7</v>
      </c>
      <c r="G385">
        <v>8.6999999999999993</v>
      </c>
      <c r="H385">
        <v>0</v>
      </c>
      <c r="I385" t="s">
        <v>458</v>
      </c>
      <c r="J385" t="s">
        <v>211</v>
      </c>
      <c r="K385">
        <v>11.7</v>
      </c>
    </row>
    <row r="386" spans="1:11" x14ac:dyDescent="0.2">
      <c r="A386" t="s">
        <v>499</v>
      </c>
      <c r="B386">
        <v>3</v>
      </c>
      <c r="C386" t="s">
        <v>6</v>
      </c>
      <c r="D386">
        <v>2</v>
      </c>
      <c r="E386">
        <v>11.7</v>
      </c>
      <c r="F386">
        <v>4.2</v>
      </c>
      <c r="G386">
        <v>7.5</v>
      </c>
      <c r="H386">
        <v>1</v>
      </c>
      <c r="I386" t="s">
        <v>38</v>
      </c>
      <c r="J386" t="s">
        <v>458</v>
      </c>
      <c r="K386">
        <v>0</v>
      </c>
    </row>
    <row r="387" spans="1:11" x14ac:dyDescent="0.2">
      <c r="A387" t="s">
        <v>499</v>
      </c>
      <c r="B387">
        <v>3</v>
      </c>
      <c r="C387" t="s">
        <v>9</v>
      </c>
      <c r="D387">
        <v>1</v>
      </c>
      <c r="E387">
        <v>23.2</v>
      </c>
      <c r="F387">
        <v>23.2</v>
      </c>
      <c r="G387">
        <v>0</v>
      </c>
      <c r="H387">
        <v>1</v>
      </c>
      <c r="I387" t="s">
        <v>98</v>
      </c>
      <c r="J387" t="s">
        <v>98</v>
      </c>
      <c r="K387">
        <v>0</v>
      </c>
    </row>
    <row r="388" spans="1:11" x14ac:dyDescent="0.2">
      <c r="A388" t="s">
        <v>499</v>
      </c>
      <c r="B388">
        <v>3</v>
      </c>
      <c r="C388" t="s">
        <v>11</v>
      </c>
      <c r="D388">
        <v>1</v>
      </c>
      <c r="E388">
        <v>19.3</v>
      </c>
      <c r="F388">
        <v>19.3</v>
      </c>
      <c r="G388">
        <v>0</v>
      </c>
      <c r="H388">
        <v>1</v>
      </c>
      <c r="I388" t="s">
        <v>156</v>
      </c>
      <c r="J388" t="s">
        <v>156</v>
      </c>
      <c r="K388">
        <v>0</v>
      </c>
    </row>
    <row r="389" spans="1:11" x14ac:dyDescent="0.2">
      <c r="A389" t="s">
        <v>499</v>
      </c>
      <c r="B389">
        <v>3</v>
      </c>
      <c r="C389" t="s">
        <v>11</v>
      </c>
      <c r="D389">
        <v>2</v>
      </c>
      <c r="E389">
        <v>6.8</v>
      </c>
      <c r="F389">
        <v>3.1</v>
      </c>
      <c r="G389">
        <v>3.7</v>
      </c>
      <c r="H389">
        <v>1</v>
      </c>
      <c r="I389" t="s">
        <v>334</v>
      </c>
      <c r="J389" t="s">
        <v>221</v>
      </c>
      <c r="K389">
        <v>0</v>
      </c>
    </row>
    <row r="390" spans="1:11" x14ac:dyDescent="0.2">
      <c r="A390" t="s">
        <v>499</v>
      </c>
      <c r="B390">
        <v>3</v>
      </c>
      <c r="C390" t="s">
        <v>12</v>
      </c>
      <c r="D390">
        <v>1</v>
      </c>
      <c r="E390">
        <v>4</v>
      </c>
      <c r="F390">
        <v>4</v>
      </c>
      <c r="G390">
        <v>0</v>
      </c>
      <c r="H390">
        <v>1</v>
      </c>
      <c r="I390" t="s">
        <v>169</v>
      </c>
      <c r="J390" t="s">
        <v>169</v>
      </c>
      <c r="K390">
        <v>0</v>
      </c>
    </row>
    <row r="391" spans="1:11" x14ac:dyDescent="0.2">
      <c r="A391" t="s">
        <v>499</v>
      </c>
      <c r="B391">
        <v>3</v>
      </c>
      <c r="C391" t="s">
        <v>13</v>
      </c>
      <c r="D391">
        <v>1</v>
      </c>
      <c r="E391">
        <v>10</v>
      </c>
      <c r="F391">
        <v>10</v>
      </c>
      <c r="G391">
        <v>0</v>
      </c>
      <c r="H391">
        <v>1</v>
      </c>
      <c r="I391" t="s">
        <v>228</v>
      </c>
      <c r="J391" t="s">
        <v>228</v>
      </c>
      <c r="K391">
        <v>0</v>
      </c>
    </row>
    <row r="392" spans="1:11" x14ac:dyDescent="0.2">
      <c r="A392" t="s">
        <v>255</v>
      </c>
      <c r="B392">
        <v>1</v>
      </c>
      <c r="C392" t="s">
        <v>4</v>
      </c>
      <c r="D392">
        <v>1</v>
      </c>
      <c r="E392">
        <v>24.72</v>
      </c>
      <c r="F392">
        <v>24.72</v>
      </c>
      <c r="G392">
        <v>0</v>
      </c>
      <c r="H392">
        <v>1</v>
      </c>
      <c r="I392" t="s">
        <v>35</v>
      </c>
      <c r="J392" t="s">
        <v>35</v>
      </c>
      <c r="K392">
        <v>0</v>
      </c>
    </row>
    <row r="393" spans="1:11" x14ac:dyDescent="0.2">
      <c r="A393" t="s">
        <v>255</v>
      </c>
      <c r="B393">
        <v>1</v>
      </c>
      <c r="C393" t="s">
        <v>5</v>
      </c>
      <c r="D393">
        <v>1</v>
      </c>
      <c r="E393">
        <v>22.2</v>
      </c>
      <c r="F393">
        <v>22.2</v>
      </c>
      <c r="G393">
        <v>0</v>
      </c>
      <c r="H393">
        <v>1</v>
      </c>
      <c r="I393" t="s">
        <v>201</v>
      </c>
      <c r="J393" t="s">
        <v>201</v>
      </c>
      <c r="K393">
        <v>0</v>
      </c>
    </row>
    <row r="394" spans="1:11" x14ac:dyDescent="0.2">
      <c r="A394" t="s">
        <v>255</v>
      </c>
      <c r="B394">
        <v>1</v>
      </c>
      <c r="C394" t="s">
        <v>5</v>
      </c>
      <c r="D394">
        <v>2</v>
      </c>
      <c r="E394">
        <v>12</v>
      </c>
      <c r="F394">
        <v>12</v>
      </c>
      <c r="G394">
        <v>0</v>
      </c>
      <c r="H394">
        <v>1</v>
      </c>
      <c r="I394" t="s">
        <v>503</v>
      </c>
      <c r="J394" t="s">
        <v>503</v>
      </c>
      <c r="K394">
        <v>0</v>
      </c>
    </row>
    <row r="395" spans="1:11" x14ac:dyDescent="0.2">
      <c r="A395" t="s">
        <v>255</v>
      </c>
      <c r="B395">
        <v>1</v>
      </c>
      <c r="C395" t="s">
        <v>6</v>
      </c>
      <c r="D395">
        <v>1</v>
      </c>
      <c r="E395">
        <v>12.9</v>
      </c>
      <c r="F395">
        <v>12.9</v>
      </c>
      <c r="G395">
        <v>0</v>
      </c>
      <c r="H395">
        <v>1</v>
      </c>
      <c r="I395" t="s">
        <v>67</v>
      </c>
      <c r="J395" t="s">
        <v>67</v>
      </c>
      <c r="K395">
        <v>0</v>
      </c>
    </row>
    <row r="396" spans="1:11" x14ac:dyDescent="0.2">
      <c r="A396" t="s">
        <v>255</v>
      </c>
      <c r="B396">
        <v>1</v>
      </c>
      <c r="C396" t="s">
        <v>6</v>
      </c>
      <c r="D396">
        <v>2</v>
      </c>
      <c r="E396">
        <v>9.9</v>
      </c>
      <c r="F396">
        <v>9.9</v>
      </c>
      <c r="G396">
        <v>0</v>
      </c>
      <c r="H396">
        <v>1</v>
      </c>
      <c r="I396" t="s">
        <v>212</v>
      </c>
      <c r="J396" t="s">
        <v>212</v>
      </c>
      <c r="K396">
        <v>0</v>
      </c>
    </row>
    <row r="397" spans="1:11" x14ac:dyDescent="0.2">
      <c r="A397" t="s">
        <v>255</v>
      </c>
      <c r="B397">
        <v>1</v>
      </c>
      <c r="C397" t="s">
        <v>9</v>
      </c>
      <c r="D397">
        <v>1</v>
      </c>
      <c r="E397">
        <v>8.6</v>
      </c>
      <c r="F397">
        <v>0</v>
      </c>
      <c r="G397">
        <v>8.6</v>
      </c>
      <c r="H397">
        <v>1</v>
      </c>
      <c r="I397" t="s">
        <v>324</v>
      </c>
      <c r="J397" t="s">
        <v>87</v>
      </c>
      <c r="K397">
        <v>0</v>
      </c>
    </row>
    <row r="398" spans="1:11" x14ac:dyDescent="0.2">
      <c r="A398" t="s">
        <v>255</v>
      </c>
      <c r="B398">
        <v>1</v>
      </c>
      <c r="C398" t="s">
        <v>11</v>
      </c>
      <c r="D398">
        <v>1</v>
      </c>
      <c r="E398">
        <v>4.0999999999999996</v>
      </c>
      <c r="F398">
        <v>3.7</v>
      </c>
      <c r="G398">
        <v>0.39999999999999902</v>
      </c>
      <c r="H398">
        <v>0</v>
      </c>
      <c r="I398" t="s">
        <v>253</v>
      </c>
      <c r="J398" t="s">
        <v>504</v>
      </c>
      <c r="K398">
        <v>3.7</v>
      </c>
    </row>
    <row r="399" spans="1:11" x14ac:dyDescent="0.2">
      <c r="A399" t="s">
        <v>255</v>
      </c>
      <c r="B399">
        <v>1</v>
      </c>
      <c r="C399" t="s">
        <v>11</v>
      </c>
      <c r="D399">
        <v>2</v>
      </c>
      <c r="E399">
        <v>3.7</v>
      </c>
      <c r="F399">
        <v>2.4</v>
      </c>
      <c r="G399">
        <v>1.3</v>
      </c>
      <c r="H399">
        <v>1</v>
      </c>
      <c r="I399" t="s">
        <v>56</v>
      </c>
      <c r="J399" t="s">
        <v>253</v>
      </c>
      <c r="K399">
        <v>0</v>
      </c>
    </row>
    <row r="400" spans="1:11" x14ac:dyDescent="0.2">
      <c r="A400" t="s">
        <v>255</v>
      </c>
      <c r="B400">
        <v>1</v>
      </c>
      <c r="C400" t="s">
        <v>12</v>
      </c>
      <c r="D400">
        <v>1</v>
      </c>
      <c r="E400">
        <v>2</v>
      </c>
      <c r="F400">
        <v>2</v>
      </c>
      <c r="G400">
        <v>0</v>
      </c>
      <c r="H400">
        <v>1</v>
      </c>
      <c r="I400" t="s">
        <v>144</v>
      </c>
      <c r="J400" t="s">
        <v>144</v>
      </c>
      <c r="K400">
        <v>0</v>
      </c>
    </row>
    <row r="401" spans="1:11" x14ac:dyDescent="0.2">
      <c r="A401" t="s">
        <v>255</v>
      </c>
      <c r="B401">
        <v>1</v>
      </c>
      <c r="C401" t="s">
        <v>13</v>
      </c>
      <c r="D401">
        <v>1</v>
      </c>
      <c r="E401">
        <v>1</v>
      </c>
      <c r="F401">
        <v>1</v>
      </c>
      <c r="G401">
        <v>0</v>
      </c>
      <c r="H401">
        <v>1</v>
      </c>
      <c r="I401" t="s">
        <v>456</v>
      </c>
      <c r="J401" t="s">
        <v>456</v>
      </c>
      <c r="K401">
        <v>0</v>
      </c>
    </row>
    <row r="402" spans="1:11" x14ac:dyDescent="0.2">
      <c r="A402" t="s">
        <v>255</v>
      </c>
      <c r="B402">
        <v>2</v>
      </c>
      <c r="C402" t="s">
        <v>4</v>
      </c>
      <c r="D402">
        <v>1</v>
      </c>
      <c r="E402">
        <v>16.16</v>
      </c>
      <c r="F402">
        <v>16.16</v>
      </c>
      <c r="G402">
        <v>0</v>
      </c>
      <c r="H402">
        <v>1</v>
      </c>
      <c r="I402" t="s">
        <v>35</v>
      </c>
      <c r="J402" t="s">
        <v>35</v>
      </c>
      <c r="K402">
        <v>0</v>
      </c>
    </row>
    <row r="403" spans="1:11" x14ac:dyDescent="0.2">
      <c r="A403" t="s">
        <v>255</v>
      </c>
      <c r="B403">
        <v>2</v>
      </c>
      <c r="C403" t="s">
        <v>5</v>
      </c>
      <c r="D403">
        <v>1</v>
      </c>
      <c r="E403">
        <v>13.4</v>
      </c>
      <c r="F403">
        <v>13.4</v>
      </c>
      <c r="G403">
        <v>0</v>
      </c>
      <c r="H403">
        <v>1</v>
      </c>
      <c r="I403" t="s">
        <v>201</v>
      </c>
      <c r="J403" t="s">
        <v>201</v>
      </c>
      <c r="K403">
        <v>0</v>
      </c>
    </row>
    <row r="404" spans="1:11" x14ac:dyDescent="0.2">
      <c r="A404" t="s">
        <v>255</v>
      </c>
      <c r="B404">
        <v>2</v>
      </c>
      <c r="C404" t="s">
        <v>5</v>
      </c>
      <c r="D404">
        <v>2</v>
      </c>
      <c r="E404">
        <v>6</v>
      </c>
      <c r="F404">
        <v>6</v>
      </c>
      <c r="G404">
        <v>0</v>
      </c>
      <c r="H404">
        <v>1</v>
      </c>
      <c r="I404" t="s">
        <v>503</v>
      </c>
      <c r="J404" t="s">
        <v>503</v>
      </c>
      <c r="K404">
        <v>0</v>
      </c>
    </row>
    <row r="405" spans="1:11" x14ac:dyDescent="0.2">
      <c r="A405" t="s">
        <v>255</v>
      </c>
      <c r="B405">
        <v>2</v>
      </c>
      <c r="C405" t="s">
        <v>6</v>
      </c>
      <c r="D405">
        <v>1</v>
      </c>
      <c r="E405">
        <v>31.3</v>
      </c>
      <c r="F405">
        <v>31.3</v>
      </c>
      <c r="G405">
        <v>0</v>
      </c>
      <c r="H405">
        <v>1</v>
      </c>
      <c r="I405" t="s">
        <v>67</v>
      </c>
      <c r="J405" t="s">
        <v>67</v>
      </c>
      <c r="K405">
        <v>0</v>
      </c>
    </row>
    <row r="406" spans="1:11" x14ac:dyDescent="0.2">
      <c r="A406" t="s">
        <v>255</v>
      </c>
      <c r="B406">
        <v>2</v>
      </c>
      <c r="C406" t="s">
        <v>6</v>
      </c>
      <c r="D406">
        <v>2</v>
      </c>
      <c r="E406">
        <v>20.399999999999999</v>
      </c>
      <c r="F406">
        <v>0.6</v>
      </c>
      <c r="G406">
        <v>19.8</v>
      </c>
      <c r="H406">
        <v>1</v>
      </c>
      <c r="I406" t="s">
        <v>212</v>
      </c>
      <c r="J406" t="s">
        <v>253</v>
      </c>
      <c r="K406">
        <v>0</v>
      </c>
    </row>
    <row r="407" spans="1:11" x14ac:dyDescent="0.2">
      <c r="A407" t="s">
        <v>255</v>
      </c>
      <c r="B407">
        <v>2</v>
      </c>
      <c r="C407" t="s">
        <v>9</v>
      </c>
      <c r="D407">
        <v>1</v>
      </c>
      <c r="E407">
        <v>20.6</v>
      </c>
      <c r="F407">
        <v>2</v>
      </c>
      <c r="G407">
        <v>18.600000000000001</v>
      </c>
      <c r="H407">
        <v>1</v>
      </c>
      <c r="I407" t="s">
        <v>324</v>
      </c>
      <c r="J407" t="s">
        <v>87</v>
      </c>
      <c r="K407">
        <v>0</v>
      </c>
    </row>
    <row r="408" spans="1:11" x14ac:dyDescent="0.2">
      <c r="A408" t="s">
        <v>255</v>
      </c>
      <c r="B408">
        <v>2</v>
      </c>
      <c r="C408" t="s">
        <v>11</v>
      </c>
      <c r="D408">
        <v>1</v>
      </c>
      <c r="E408">
        <v>6</v>
      </c>
      <c r="F408">
        <v>20.6</v>
      </c>
      <c r="G408">
        <v>-14.6</v>
      </c>
      <c r="H408">
        <v>1</v>
      </c>
      <c r="I408" t="s">
        <v>87</v>
      </c>
      <c r="J408" t="s">
        <v>56</v>
      </c>
      <c r="K408">
        <v>0</v>
      </c>
    </row>
    <row r="409" spans="1:11" x14ac:dyDescent="0.2">
      <c r="A409" t="s">
        <v>255</v>
      </c>
      <c r="B409">
        <v>2</v>
      </c>
      <c r="C409" t="s">
        <v>11</v>
      </c>
      <c r="D409">
        <v>2</v>
      </c>
      <c r="E409">
        <v>4.5</v>
      </c>
      <c r="F409">
        <v>6</v>
      </c>
      <c r="G409">
        <v>-1.5</v>
      </c>
      <c r="H409">
        <v>1</v>
      </c>
      <c r="I409" t="s">
        <v>56</v>
      </c>
      <c r="J409" t="s">
        <v>190</v>
      </c>
      <c r="K409">
        <v>0</v>
      </c>
    </row>
    <row r="410" spans="1:11" x14ac:dyDescent="0.2">
      <c r="A410" t="s">
        <v>255</v>
      </c>
      <c r="B410">
        <v>2</v>
      </c>
      <c r="C410" t="s">
        <v>12</v>
      </c>
      <c r="D410">
        <v>1</v>
      </c>
      <c r="E410">
        <v>9</v>
      </c>
      <c r="F410">
        <v>9</v>
      </c>
      <c r="G410">
        <v>0</v>
      </c>
      <c r="H410">
        <v>1</v>
      </c>
      <c r="I410" t="s">
        <v>144</v>
      </c>
      <c r="J410" t="s">
        <v>144</v>
      </c>
      <c r="K410">
        <v>0</v>
      </c>
    </row>
    <row r="411" spans="1:11" x14ac:dyDescent="0.2">
      <c r="A411" t="s">
        <v>255</v>
      </c>
      <c r="B411">
        <v>2</v>
      </c>
      <c r="C411" t="s">
        <v>13</v>
      </c>
      <c r="D411">
        <v>1</v>
      </c>
      <c r="E411">
        <v>3</v>
      </c>
      <c r="F411">
        <v>3</v>
      </c>
      <c r="G411">
        <v>0</v>
      </c>
      <c r="H411">
        <v>1</v>
      </c>
      <c r="I411" t="s">
        <v>456</v>
      </c>
      <c r="J411" t="s">
        <v>456</v>
      </c>
      <c r="K411">
        <v>0</v>
      </c>
    </row>
    <row r="412" spans="1:11" x14ac:dyDescent="0.2">
      <c r="A412" t="s">
        <v>255</v>
      </c>
      <c r="B412">
        <v>3</v>
      </c>
      <c r="C412" t="s">
        <v>4</v>
      </c>
      <c r="D412">
        <v>1</v>
      </c>
      <c r="E412">
        <v>12.74</v>
      </c>
      <c r="F412">
        <v>12.62</v>
      </c>
      <c r="G412">
        <v>0.12000000000000099</v>
      </c>
      <c r="H412">
        <v>1</v>
      </c>
      <c r="I412" t="s">
        <v>35</v>
      </c>
      <c r="J412" t="s">
        <v>91</v>
      </c>
      <c r="K412">
        <v>0</v>
      </c>
    </row>
    <row r="413" spans="1:11" x14ac:dyDescent="0.2">
      <c r="A413" t="s">
        <v>255</v>
      </c>
      <c r="B413">
        <v>3</v>
      </c>
      <c r="C413" t="s">
        <v>5</v>
      </c>
      <c r="D413">
        <v>1</v>
      </c>
      <c r="E413">
        <v>19.399999999999999</v>
      </c>
      <c r="F413">
        <v>19.399999999999999</v>
      </c>
      <c r="G413">
        <v>0</v>
      </c>
      <c r="H413">
        <v>1</v>
      </c>
      <c r="I413" t="s">
        <v>503</v>
      </c>
      <c r="J413" t="s">
        <v>503</v>
      </c>
      <c r="K413">
        <v>0</v>
      </c>
    </row>
    <row r="414" spans="1:11" x14ac:dyDescent="0.2">
      <c r="A414" t="s">
        <v>255</v>
      </c>
      <c r="B414">
        <v>3</v>
      </c>
      <c r="C414" t="s">
        <v>5</v>
      </c>
      <c r="D414">
        <v>2</v>
      </c>
      <c r="E414">
        <v>13</v>
      </c>
      <c r="F414">
        <v>13</v>
      </c>
      <c r="G414">
        <v>0</v>
      </c>
      <c r="H414">
        <v>1</v>
      </c>
      <c r="I414" t="s">
        <v>201</v>
      </c>
      <c r="J414" t="s">
        <v>201</v>
      </c>
      <c r="K414">
        <v>0</v>
      </c>
    </row>
    <row r="415" spans="1:11" x14ac:dyDescent="0.2">
      <c r="A415" t="s">
        <v>255</v>
      </c>
      <c r="B415">
        <v>3</v>
      </c>
      <c r="C415" t="s">
        <v>6</v>
      </c>
      <c r="D415">
        <v>1</v>
      </c>
      <c r="E415">
        <v>16.7</v>
      </c>
      <c r="F415">
        <v>16.7</v>
      </c>
      <c r="G415">
        <v>0</v>
      </c>
      <c r="H415">
        <v>1</v>
      </c>
      <c r="I415" t="s">
        <v>67</v>
      </c>
      <c r="J415" t="s">
        <v>67</v>
      </c>
      <c r="K415">
        <v>0</v>
      </c>
    </row>
    <row r="416" spans="1:11" x14ac:dyDescent="0.2">
      <c r="A416" t="s">
        <v>255</v>
      </c>
      <c r="B416">
        <v>3</v>
      </c>
      <c r="C416" t="s">
        <v>6</v>
      </c>
      <c r="D416">
        <v>2</v>
      </c>
      <c r="E416">
        <v>16.7</v>
      </c>
      <c r="F416">
        <v>5.0999999999999996</v>
      </c>
      <c r="G416">
        <v>11.6</v>
      </c>
      <c r="H416">
        <v>1</v>
      </c>
      <c r="I416" t="s">
        <v>212</v>
      </c>
      <c r="J416" t="s">
        <v>56</v>
      </c>
      <c r="K416">
        <v>0</v>
      </c>
    </row>
    <row r="417" spans="1:11" x14ac:dyDescent="0.2">
      <c r="A417" t="s">
        <v>255</v>
      </c>
      <c r="B417">
        <v>3</v>
      </c>
      <c r="C417" t="s">
        <v>9</v>
      </c>
      <c r="D417">
        <v>1</v>
      </c>
      <c r="E417">
        <v>12.9</v>
      </c>
      <c r="F417">
        <v>12.9</v>
      </c>
      <c r="G417">
        <v>0</v>
      </c>
      <c r="H417">
        <v>1</v>
      </c>
      <c r="I417" t="s">
        <v>87</v>
      </c>
      <c r="J417" t="s">
        <v>87</v>
      </c>
      <c r="K417">
        <v>0</v>
      </c>
    </row>
    <row r="418" spans="1:11" x14ac:dyDescent="0.2">
      <c r="A418" t="s">
        <v>255</v>
      </c>
      <c r="B418">
        <v>3</v>
      </c>
      <c r="C418" t="s">
        <v>11</v>
      </c>
      <c r="D418">
        <v>1</v>
      </c>
      <c r="E418">
        <v>6.3</v>
      </c>
      <c r="F418">
        <v>16.7</v>
      </c>
      <c r="G418">
        <v>-10.4</v>
      </c>
      <c r="H418">
        <v>1</v>
      </c>
      <c r="I418" t="s">
        <v>56</v>
      </c>
      <c r="J418" t="s">
        <v>253</v>
      </c>
      <c r="K418">
        <v>0</v>
      </c>
    </row>
    <row r="419" spans="1:11" x14ac:dyDescent="0.2">
      <c r="A419" t="s">
        <v>255</v>
      </c>
      <c r="B419">
        <v>3</v>
      </c>
      <c r="C419" t="s">
        <v>11</v>
      </c>
      <c r="D419">
        <v>2</v>
      </c>
      <c r="E419">
        <v>5.0999999999999996</v>
      </c>
      <c r="F419">
        <v>6.3</v>
      </c>
      <c r="G419">
        <v>-1.2</v>
      </c>
      <c r="H419">
        <v>0</v>
      </c>
      <c r="I419" t="s">
        <v>253</v>
      </c>
      <c r="J419" t="s">
        <v>212</v>
      </c>
      <c r="K419">
        <v>6.3</v>
      </c>
    </row>
    <row r="420" spans="1:11" x14ac:dyDescent="0.2">
      <c r="A420" t="s">
        <v>255</v>
      </c>
      <c r="B420">
        <v>3</v>
      </c>
      <c r="C420" t="s">
        <v>12</v>
      </c>
      <c r="D420">
        <v>1</v>
      </c>
      <c r="E420">
        <v>9</v>
      </c>
      <c r="F420">
        <v>0</v>
      </c>
      <c r="G420">
        <v>9</v>
      </c>
      <c r="H420">
        <v>0</v>
      </c>
      <c r="I420" t="s">
        <v>128</v>
      </c>
      <c r="J420" t="s">
        <v>144</v>
      </c>
      <c r="K420">
        <v>0</v>
      </c>
    </row>
    <row r="421" spans="1:11" x14ac:dyDescent="0.2">
      <c r="A421" t="s">
        <v>255</v>
      </c>
      <c r="B421">
        <v>3</v>
      </c>
      <c r="C421" t="s">
        <v>13</v>
      </c>
      <c r="D421">
        <v>1</v>
      </c>
      <c r="E421">
        <v>12</v>
      </c>
      <c r="F421">
        <v>12</v>
      </c>
      <c r="G421">
        <v>0</v>
      </c>
      <c r="H421">
        <v>0</v>
      </c>
      <c r="I421" t="s">
        <v>246</v>
      </c>
      <c r="J421" t="s">
        <v>246</v>
      </c>
      <c r="K42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79E2E-9FA5-1046-AB51-B61506B0D9DA}">
  <sheetPr codeName="Sheet3"/>
  <dimension ref="A1:AC239"/>
  <sheetViews>
    <sheetView tabSelected="1" topLeftCell="H1" workbookViewId="0">
      <selection activeCell="R23" sqref="R23"/>
    </sheetView>
  </sheetViews>
  <sheetFormatPr baseColWidth="10" defaultRowHeight="16" x14ac:dyDescent="0.2"/>
  <cols>
    <col min="1" max="1" width="29.6640625" bestFit="1" customWidth="1"/>
    <col min="2" max="2" width="5.83203125" bestFit="1" customWidth="1"/>
    <col min="3" max="3" width="10.6640625" bestFit="1" customWidth="1"/>
    <col min="4" max="4" width="11.83203125" bestFit="1" customWidth="1"/>
    <col min="5" max="5" width="12.5" customWidth="1"/>
    <col min="6" max="6" width="17.83203125" bestFit="1" customWidth="1"/>
    <col min="7" max="7" width="26.6640625" bestFit="1" customWidth="1"/>
    <col min="8" max="8" width="15.5" bestFit="1" customWidth="1"/>
    <col min="9" max="9" width="5.1640625" bestFit="1" customWidth="1"/>
    <col min="10" max="10" width="28.83203125" bestFit="1" customWidth="1"/>
    <col min="11" max="11" width="15.83203125" customWidth="1"/>
    <col min="12" max="12" width="14.33203125" customWidth="1"/>
    <col min="13" max="13" width="15" customWidth="1"/>
    <col min="14" max="14" width="19.6640625" customWidth="1"/>
    <col min="15" max="15" width="18.5" customWidth="1"/>
    <col min="16" max="16" width="17.5" customWidth="1"/>
    <col min="17" max="17" width="11.83203125" customWidth="1"/>
    <col min="18" max="18" width="19.5" customWidth="1"/>
    <col min="19" max="19" width="8.83203125" customWidth="1"/>
    <col min="20" max="20" width="7.6640625" customWidth="1"/>
    <col min="21" max="21" width="8.5" customWidth="1"/>
    <col min="22" max="23" width="6.1640625" customWidth="1"/>
    <col min="24" max="24" width="14.6640625" customWidth="1"/>
    <col min="25" max="25" width="7.5" bestFit="1" customWidth="1"/>
    <col min="26" max="26" width="7.6640625" bestFit="1" customWidth="1"/>
    <col min="27" max="27" width="11.1640625" bestFit="1" customWidth="1"/>
    <col min="28" max="28" width="13.1640625" bestFit="1" customWidth="1"/>
    <col min="29" max="29" width="16.83203125" bestFit="1" customWidth="1"/>
  </cols>
  <sheetData>
    <row r="1" spans="1:29" x14ac:dyDescent="0.2">
      <c r="A1" t="s">
        <v>121</v>
      </c>
      <c r="B1" t="s">
        <v>131</v>
      </c>
      <c r="C1" t="s">
        <v>137</v>
      </c>
      <c r="D1" t="s">
        <v>138</v>
      </c>
      <c r="E1" t="s">
        <v>134</v>
      </c>
      <c r="F1" t="s">
        <v>257</v>
      </c>
      <c r="G1" t="s">
        <v>135</v>
      </c>
      <c r="J1" s="5" t="s">
        <v>140</v>
      </c>
    </row>
    <row r="2" spans="1:29" x14ac:dyDescent="0.2">
      <c r="A2" t="s">
        <v>545</v>
      </c>
      <c r="B2">
        <v>1</v>
      </c>
      <c r="C2" cm="1">
        <f t="array" aca="1" ref="C2" ca="1">SUMIFS([0]!Ideal_Points,[0]!Team_Total,'Team Summaries'!A2,[0]!Week_Total,'Team Summaries'!B2)</f>
        <v>129.06</v>
      </c>
      <c r="D2" cm="1">
        <f t="array" aca="1" ref="D2" ca="1">SUMIFS([0]!Actual_Points,[0]!Team_Total,'Team Summaries'!A2,[0]!Week_Total,'Team Summaries'!B2)</f>
        <v>128.26</v>
      </c>
      <c r="E2" cm="1">
        <f t="array" aca="1" ref="E2" ca="1">SUMIFS([0]!Missed_Points,[0]!Team_Total,'Team Summaries'!A2,[0]!Week_Total,'Team Summaries'!B2)</f>
        <v>0.80000000000000071</v>
      </c>
      <c r="F2" cm="1">
        <f t="array" aca="1" ref="F2" ca="1">10-SUMIFS([0]!Non_Drafted_Player,[0]!Team_Total,'Team Summaries'!A2,[0]!Week_Total,'Team Summaries'!B2)</f>
        <v>0</v>
      </c>
      <c r="G2" cm="1">
        <f t="array" aca="1" ref="G2" ca="1">SUMIFS([0]!ND_Starter_Points,[0]!Team_Total,'Team Summaries'!A2,[0]!Week_Total,'Team Summaries'!B2)</f>
        <v>0</v>
      </c>
      <c r="H2" s="7"/>
      <c r="I2" t="s">
        <v>171</v>
      </c>
      <c r="J2" t="s">
        <v>121</v>
      </c>
      <c r="K2" t="s">
        <v>170</v>
      </c>
      <c r="L2" t="s">
        <v>138</v>
      </c>
      <c r="M2" t="s">
        <v>139</v>
      </c>
      <c r="N2" t="s">
        <v>340</v>
      </c>
      <c r="O2" t="s">
        <v>339</v>
      </c>
      <c r="P2" t="s">
        <v>338</v>
      </c>
      <c r="Q2" t="s">
        <v>263</v>
      </c>
      <c r="R2" t="s">
        <v>307</v>
      </c>
      <c r="S2" t="s">
        <v>264</v>
      </c>
      <c r="T2" t="s">
        <v>270</v>
      </c>
      <c r="U2" t="s">
        <v>266</v>
      </c>
      <c r="V2" t="s">
        <v>267</v>
      </c>
      <c r="W2" t="s">
        <v>268</v>
      </c>
      <c r="X2" t="s">
        <v>276</v>
      </c>
      <c r="Y2" t="s">
        <v>271</v>
      </c>
      <c r="Z2" t="s">
        <v>272</v>
      </c>
      <c r="AA2" t="s">
        <v>275</v>
      </c>
      <c r="AB2" t="s">
        <v>277</v>
      </c>
      <c r="AC2" t="s">
        <v>282</v>
      </c>
    </row>
    <row r="3" spans="1:29" x14ac:dyDescent="0.2">
      <c r="A3" t="s">
        <v>463</v>
      </c>
      <c r="B3">
        <v>1</v>
      </c>
      <c r="C3" cm="1">
        <f t="array" aca="1" ref="C3" ca="1">SUMIFS([0]!Ideal_Points,[0]!Team_Total,'Team Summaries'!A3,[0]!Week_Total,'Team Summaries'!B3)</f>
        <v>95.3</v>
      </c>
      <c r="D3" cm="1">
        <f t="array" aca="1" ref="D3" ca="1">SUMIFS([0]!Actual_Points,[0]!Team_Total,'Team Summaries'!A3,[0]!Week_Total,'Team Summaries'!B3)</f>
        <v>82.800000000000011</v>
      </c>
      <c r="E3" cm="1">
        <f t="array" aca="1" ref="E3" ca="1">SUMIFS([0]!Missed_Points,[0]!Team_Total,'Team Summaries'!A3,[0]!Week_Total,'Team Summaries'!B3)</f>
        <v>12.499999999999998</v>
      </c>
      <c r="F3" cm="1">
        <f t="array" aca="1" ref="F3" ca="1">10-SUMIFS([0]!Non_Drafted_Player,[0]!Team_Total,'Team Summaries'!A3,[0]!Week_Total,'Team Summaries'!B3)</f>
        <v>2</v>
      </c>
      <c r="G3" cm="1">
        <f t="array" aca="1" ref="G3" ca="1">SUMIFS([0]!ND_Starter_Points,[0]!Team_Total,'Team Summaries'!A3,[0]!Week_Total,'Team Summaries'!B3)</f>
        <v>20.2</v>
      </c>
      <c r="H3" s="7"/>
      <c r="I3">
        <v>1</v>
      </c>
      <c r="J3" t="s">
        <v>545</v>
      </c>
      <c r="K3" s="6">
        <f t="shared" ref="K3:K16" ca="1" si="0">AVERAGEIF($A$2:$A$1000,J3,$C$2:$C$1000)</f>
        <v>110.15333333333332</v>
      </c>
      <c r="L3" s="6">
        <f ca="1">AVERAGEIF($A$2:$A$1000,Table1[[#This Row],[Team]],$D$2:$D$1000)</f>
        <v>107.82666666666665</v>
      </c>
      <c r="M3" s="6">
        <f ca="1">AVERAGEIF($A$2:$A$1000,Table1[[#This Row],[Team]],$E$2:$E$1000)</f>
        <v>2.3266666666666667</v>
      </c>
      <c r="N3" s="11">
        <f ca="1">Table1[[#This Row],[Actual Points]]/Table1[[#This Row],[Possible Points]]</f>
        <v>0.9788779277370937</v>
      </c>
      <c r="O3" s="6">
        <f ca="1">AVERAGEIF($A$2:$A$1000,Table1[[#This Row],[Team]],$F$2:$F$1000)</f>
        <v>0</v>
      </c>
      <c r="P3" s="6">
        <f ca="1">AVERAGEIF($A$2:$A$1000,Table1[[#This Row],[Team]],$G$2:$G$1000)</f>
        <v>0</v>
      </c>
      <c r="Q3" s="10">
        <f>_xlfn.XLOOKUP(Table1[[#This Row],[Team]],'Draft Recap'!$S$2:$S$15,'Draft Recap'!T$2:T$15)</f>
        <v>2480</v>
      </c>
      <c r="R3" s="10">
        <v>1866</v>
      </c>
      <c r="S3" s="10">
        <f>_xlfn.XLOOKUP(Table1[[#This Row],[Team]],'Draft Recap'!$S$2:$S$15,'Draft Recap'!U$2:U$15)</f>
        <v>376.86</v>
      </c>
      <c r="T3" s="10">
        <f>_xlfn.XLOOKUP(Table1[[#This Row],[Team]],'Draft Recap'!$S$2:$S$15,'Draft Recap'!V$2:V$15)</f>
        <v>0</v>
      </c>
      <c r="U3" s="10">
        <f>_xlfn.XLOOKUP(Table1[[#This Row],[Team]],'Draft Recap'!$S$2:$S$15,'Draft Recap'!W$2:W$15)</f>
        <v>2135.5400000000004</v>
      </c>
      <c r="V3" s="10">
        <f>_xlfn.XLOOKUP(Table1[[#This Row],[Team]],'Draft Recap'!$S$2:$S$15,'Draft Recap'!X$2:X$15)</f>
        <v>-344.45999999999987</v>
      </c>
      <c r="W3" s="10">
        <f>_xlfn.XLOOKUP(Table1[[#This Row],[Team]],'Draft Recap'!$S$2:$S$15,'Draft Recap'!Y$2:Y$15)</f>
        <v>3</v>
      </c>
      <c r="X3" s="10">
        <f>_xlfn.XLOOKUP(Table1[[#This Row],[Team]],'Draft Recap'!$S$2:$S$15,'Draft Recap'!Z$2:Z$15)</f>
        <v>9</v>
      </c>
      <c r="Y3" s="10">
        <f ca="1">_xlfn.XLOOKUP(Table1[[#This Row],[Team]],'Draft Recap'!$S$2:$S$15,'Draft Recap'!AA$2:AA$15)</f>
        <v>25.153333333333318</v>
      </c>
      <c r="Z3" s="10">
        <f ca="1">_xlfn.XLOOKUP(Table1[[#This Row],[Team]],'Draft Recap'!$S$2:$S$15,'Draft Recap'!AB$2:AB$15)</f>
        <v>0</v>
      </c>
      <c r="AA3" s="11">
        <f ca="1">_xlfn.XLOOKUP(Table1[[#This Row],[Team]],'Draft Recap'!$S$2:$S$15,'Draft Recap'!AC$2:AC$15)</f>
        <v>0.91511936339522537</v>
      </c>
      <c r="AB3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-0.48406726338353623</v>
      </c>
      <c r="AC3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0.27953576196873048</v>
      </c>
    </row>
    <row r="4" spans="1:29" x14ac:dyDescent="0.2">
      <c r="A4" t="s">
        <v>468</v>
      </c>
      <c r="B4">
        <v>1</v>
      </c>
      <c r="C4" cm="1">
        <f t="array" aca="1" ref="C4" ca="1">SUMIFS([0]!Ideal_Points,[0]!Team_Total,'Team Summaries'!A4,[0]!Week_Total,'Team Summaries'!B4)</f>
        <v>101.95999999999998</v>
      </c>
      <c r="D4" cm="1">
        <f t="array" aca="1" ref="D4" ca="1">SUMIFS([0]!Actual_Points,[0]!Team_Total,'Team Summaries'!A4,[0]!Week_Total,'Team Summaries'!B4)</f>
        <v>88.46</v>
      </c>
      <c r="E4" cm="1">
        <f t="array" aca="1" ref="E4" ca="1">SUMIFS([0]!Missed_Points,[0]!Team_Total,'Team Summaries'!A4,[0]!Week_Total,'Team Summaries'!B4)</f>
        <v>13.5</v>
      </c>
      <c r="F4" cm="1">
        <f t="array" aca="1" ref="F4" ca="1">10-SUMIFS([0]!Non_Drafted_Player,[0]!Team_Total,'Team Summaries'!A4,[0]!Week_Total,'Team Summaries'!B4)</f>
        <v>0</v>
      </c>
      <c r="G4" cm="1">
        <f t="array" aca="1" ref="G4" ca="1">SUMIFS([0]!ND_Starter_Points,[0]!Team_Total,'Team Summaries'!A4,[0]!Week_Total,'Team Summaries'!B4)</f>
        <v>0</v>
      </c>
      <c r="H4" s="7"/>
      <c r="I4">
        <f>I3+1</f>
        <v>2</v>
      </c>
      <c r="J4" t="s">
        <v>463</v>
      </c>
      <c r="K4" s="6">
        <f t="shared" ca="1" si="0"/>
        <v>113.05333333333334</v>
      </c>
      <c r="L4" s="6">
        <f ca="1">AVERAGEIF($A$2:$A$1000,Table1[[#This Row],[Team]],$D$2:$D$1000)</f>
        <v>98.053333333333342</v>
      </c>
      <c r="M4" s="6">
        <f ca="1">AVERAGEIF($A$2:$A$1000,Table1[[#This Row],[Team]],$E$2:$E$1000)</f>
        <v>15</v>
      </c>
      <c r="N4" s="11">
        <f ca="1">Table1[[#This Row],[Actual Points]]/Table1[[#This Row],[Possible Points]]</f>
        <v>0.86731925934662102</v>
      </c>
      <c r="O4" s="6">
        <f ca="1">AVERAGEIF($A$2:$A$1000,Table1[[#This Row],[Team]],$F$2:$F$1000)</f>
        <v>2.3333333333333335</v>
      </c>
      <c r="P4" s="6">
        <f ca="1">AVERAGEIF($A$2:$A$1000,Table1[[#This Row],[Team]],$G$2:$G$1000)</f>
        <v>12.666666666666666</v>
      </c>
      <c r="Q4" s="10">
        <f>_xlfn.XLOOKUP(Table1[[#This Row],[Team]],'Draft Recap'!$S$2:$S$15,'Draft Recap'!T$2:T$15)</f>
        <v>2339</v>
      </c>
      <c r="R4" s="10">
        <v>1839</v>
      </c>
      <c r="S4" s="10">
        <f>_xlfn.XLOOKUP(Table1[[#This Row],[Team]],'Draft Recap'!$S$2:$S$15,'Draft Recap'!U$2:U$15)</f>
        <v>314.36</v>
      </c>
      <c r="T4" s="10">
        <f>_xlfn.XLOOKUP(Table1[[#This Row],[Team]],'Draft Recap'!$S$2:$S$15,'Draft Recap'!V$2:V$15)</f>
        <v>0</v>
      </c>
      <c r="U4" s="10">
        <f>_xlfn.XLOOKUP(Table1[[#This Row],[Team]],'Draft Recap'!$S$2:$S$15,'Draft Recap'!W$2:W$15)</f>
        <v>1781.3733333333334</v>
      </c>
      <c r="V4" s="10">
        <f>_xlfn.XLOOKUP(Table1[[#This Row],[Team]],'Draft Recap'!$S$2:$S$15,'Draft Recap'!X$2:X$15)</f>
        <v>-557.62666666666655</v>
      </c>
      <c r="W4" s="10">
        <f>_xlfn.XLOOKUP(Table1[[#This Row],[Team]],'Draft Recap'!$S$2:$S$15,'Draft Recap'!Y$2:Y$15)</f>
        <v>5</v>
      </c>
      <c r="X4" s="10">
        <f>_xlfn.XLOOKUP(Table1[[#This Row],[Team]],'Draft Recap'!$S$2:$S$15,'Draft Recap'!Z$2:Z$15)</f>
        <v>7.75</v>
      </c>
      <c r="Y4" s="10">
        <f ca="1">_xlfn.XLOOKUP(Table1[[#This Row],[Team]],'Draft Recap'!$S$2:$S$15,'Draft Recap'!AA$2:AA$15)</f>
        <v>28.579999999999984</v>
      </c>
      <c r="Z4" s="10">
        <f ca="1">_xlfn.XLOOKUP(Table1[[#This Row],[Team]],'Draft Recap'!$S$2:$S$15,'Draft Recap'!AB$2:AB$15)</f>
        <v>36.109999999999978</v>
      </c>
      <c r="AA4" s="11">
        <f ca="1">_xlfn.XLOOKUP(Table1[[#This Row],[Team]],'Draft Recap'!$S$2:$S$15,'Draft Recap'!AC$2:AC$15)</f>
        <v>1</v>
      </c>
      <c r="AB4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-0.32022783642404701</v>
      </c>
      <c r="AC4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4.510244130572244E-3</v>
      </c>
    </row>
    <row r="5" spans="1:29" x14ac:dyDescent="0.2">
      <c r="A5" t="s">
        <v>469</v>
      </c>
      <c r="B5">
        <v>1</v>
      </c>
      <c r="C5" cm="1">
        <f t="array" aca="1" ref="C5" ca="1">SUMIFS([0]!Ideal_Points,[0]!Team_Total,'Team Summaries'!A5,[0]!Week_Total,'Team Summaries'!B5)</f>
        <v>164.20000000000002</v>
      </c>
      <c r="D5" cm="1">
        <f t="array" aca="1" ref="D5" ca="1">SUMIFS([0]!Actual_Points,[0]!Team_Total,'Team Summaries'!A5,[0]!Week_Total,'Team Summaries'!B5)</f>
        <v>151.6</v>
      </c>
      <c r="E5" cm="1">
        <f t="array" aca="1" ref="E5" ca="1">SUMIFS([0]!Missed_Points,[0]!Team_Total,'Team Summaries'!A5,[0]!Week_Total,'Team Summaries'!B5)</f>
        <v>12.600000000000005</v>
      </c>
      <c r="F5" cm="1">
        <f t="array" aca="1" ref="F5" ca="1">10-SUMIFS([0]!Non_Drafted_Player,[0]!Team_Total,'Team Summaries'!A5,[0]!Week_Total,'Team Summaries'!B5)</f>
        <v>0</v>
      </c>
      <c r="G5" cm="1">
        <f t="array" aca="1" ref="G5" ca="1">SUMIFS([0]!ND_Starter_Points,[0]!Team_Total,'Team Summaries'!A5,[0]!Week_Total,'Team Summaries'!B5)</f>
        <v>0</v>
      </c>
      <c r="H5" s="7"/>
      <c r="I5">
        <f t="shared" ref="I5:I16" si="1">I4+1</f>
        <v>3</v>
      </c>
      <c r="J5" t="s">
        <v>468</v>
      </c>
      <c r="K5" s="6">
        <f t="shared" ca="1" si="0"/>
        <v>108.74666666666666</v>
      </c>
      <c r="L5" s="6">
        <f ca="1">AVERAGEIF($A$2:$A$1000,Table1[[#This Row],[Team]],$D$2:$D$1000)</f>
        <v>93.11333333333333</v>
      </c>
      <c r="M5" s="6">
        <f ca="1">AVERAGEIF($A$2:$A$1000,Table1[[#This Row],[Team]],$E$2:$E$1000)</f>
        <v>15.633333333333333</v>
      </c>
      <c r="N5" s="11">
        <f ca="1">Table1[[#This Row],[Actual Points]]/Table1[[#This Row],[Possible Points]]</f>
        <v>0.85624080431584115</v>
      </c>
      <c r="O5" s="6">
        <f ca="1">AVERAGEIF($A$2:$A$1000,Table1[[#This Row],[Team]],$F$2:$F$1000)</f>
        <v>1</v>
      </c>
      <c r="P5" s="6">
        <f ca="1">AVERAGEIF($A$2:$A$1000,Table1[[#This Row],[Team]],$G$2:$G$1000)</f>
        <v>5.4333333333333336</v>
      </c>
      <c r="Q5" s="10">
        <f>_xlfn.XLOOKUP(Table1[[#This Row],[Team]],'Draft Recap'!$S$2:$S$15,'Draft Recap'!T$2:T$15)</f>
        <v>2163</v>
      </c>
      <c r="R5" s="10">
        <v>1807</v>
      </c>
      <c r="S5" s="10">
        <f>_xlfn.XLOOKUP(Table1[[#This Row],[Team]],'Draft Recap'!$S$2:$S$15,'Draft Recap'!U$2:U$15)</f>
        <v>334.04</v>
      </c>
      <c r="T5" s="10">
        <f>_xlfn.XLOOKUP(Table1[[#This Row],[Team]],'Draft Recap'!$S$2:$S$15,'Draft Recap'!V$2:V$15)</f>
        <v>0</v>
      </c>
      <c r="U5" s="10">
        <f>_xlfn.XLOOKUP(Table1[[#This Row],[Team]],'Draft Recap'!$S$2:$S$15,'Draft Recap'!W$2:W$15)</f>
        <v>1786.2933333333331</v>
      </c>
      <c r="V5" s="10">
        <f>_xlfn.XLOOKUP(Table1[[#This Row],[Team]],'Draft Recap'!$S$2:$S$15,'Draft Recap'!X$2:X$15)</f>
        <v>-376.70666666666671</v>
      </c>
      <c r="W5" s="10">
        <f>_xlfn.XLOOKUP(Table1[[#This Row],[Team]],'Draft Recap'!$S$2:$S$15,'Draft Recap'!Y$2:Y$15)</f>
        <v>4</v>
      </c>
      <c r="X5" s="10">
        <f>_xlfn.XLOOKUP(Table1[[#This Row],[Team]],'Draft Recap'!$S$2:$S$15,'Draft Recap'!Z$2:Z$15)</f>
        <v>7</v>
      </c>
      <c r="Y5" s="10">
        <f ca="1">_xlfn.XLOOKUP(Table1[[#This Row],[Team]],'Draft Recap'!$S$2:$S$15,'Draft Recap'!AA$2:AA$15)</f>
        <v>54.659999999999989</v>
      </c>
      <c r="Z5" s="10">
        <f ca="1">_xlfn.XLOOKUP(Table1[[#This Row],[Team]],'Draft Recap'!$S$2:$S$15,'Draft Recap'!AB$2:AB$15)</f>
        <v>53.39</v>
      </c>
      <c r="AA5" s="11">
        <f ca="1">_xlfn.XLOOKUP(Table1[[#This Row],[Team]],'Draft Recap'!$S$2:$S$15,'Draft Recap'!AC$2:AC$15)</f>
        <v>1.1144144144144146</v>
      </c>
      <c r="AB5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-0.45155114916567618</v>
      </c>
      <c r="AC5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-0.78267518865428631</v>
      </c>
    </row>
    <row r="6" spans="1:29" x14ac:dyDescent="0.2">
      <c r="A6" t="s">
        <v>478</v>
      </c>
      <c r="B6">
        <v>1</v>
      </c>
      <c r="C6" cm="1">
        <f t="array" aca="1" ref="C6" ca="1">SUMIFS([0]!Ideal_Points,[0]!Team_Total,'Team Summaries'!A6,[0]!Week_Total,'Team Summaries'!B6)</f>
        <v>145.84</v>
      </c>
      <c r="D6" cm="1">
        <f t="array" aca="1" ref="D6" ca="1">SUMIFS([0]!Actual_Points,[0]!Team_Total,'Team Summaries'!A6,[0]!Week_Total,'Team Summaries'!B6)</f>
        <v>136.63999999999999</v>
      </c>
      <c r="E6" cm="1">
        <f t="array" aca="1" ref="E6" ca="1">SUMIFS([0]!Missed_Points,[0]!Team_Total,'Team Summaries'!A6,[0]!Week_Total,'Team Summaries'!B6)</f>
        <v>9.2000000000000011</v>
      </c>
      <c r="F6" cm="1">
        <f t="array" aca="1" ref="F6" ca="1">10-SUMIFS([0]!Non_Drafted_Player,[0]!Team_Total,'Team Summaries'!A6,[0]!Week_Total,'Team Summaries'!B6)</f>
        <v>0</v>
      </c>
      <c r="G6" cm="1">
        <f t="array" aca="1" ref="G6" ca="1">SUMIFS([0]!ND_Starter_Points,[0]!Team_Total,'Team Summaries'!A6,[0]!Week_Total,'Team Summaries'!B6)</f>
        <v>0</v>
      </c>
      <c r="H6" s="7"/>
      <c r="I6">
        <f t="shared" si="1"/>
        <v>4</v>
      </c>
      <c r="J6" t="s">
        <v>469</v>
      </c>
      <c r="K6" s="6">
        <f t="shared" ca="1" si="0"/>
        <v>143.89333333333335</v>
      </c>
      <c r="L6" s="6">
        <f ca="1">AVERAGEIF($A$2:$A$1000,Table1[[#This Row],[Team]],$D$2:$D$1000)</f>
        <v>139.05999999999997</v>
      </c>
      <c r="M6" s="6">
        <f ca="1">AVERAGEIF($A$2:$A$1000,Table1[[#This Row],[Team]],$E$2:$E$1000)</f>
        <v>4.8333333333333348</v>
      </c>
      <c r="N6" s="11">
        <f ca="1">Table1[[#This Row],[Actual Points]]/Table1[[#This Row],[Possible Points]]</f>
        <v>0.96641030392883587</v>
      </c>
      <c r="O6" s="6">
        <f ca="1">AVERAGEIF($A$2:$A$1000,Table1[[#This Row],[Team]],$F$2:$F$1000)</f>
        <v>1.3333333333333333</v>
      </c>
      <c r="P6" s="6">
        <f ca="1">AVERAGEIF($A$2:$A$1000,Table1[[#This Row],[Team]],$G$2:$G$1000)</f>
        <v>14.533333333333333</v>
      </c>
      <c r="Q6" s="10">
        <f>_xlfn.XLOOKUP(Table1[[#This Row],[Team]],'Draft Recap'!$S$2:$S$15,'Draft Recap'!T$2:T$15)</f>
        <v>2227</v>
      </c>
      <c r="R6" s="10">
        <v>1885</v>
      </c>
      <c r="S6" s="10">
        <f>_xlfn.XLOOKUP(Table1[[#This Row],[Team]],'Draft Recap'!$S$2:$S$15,'Draft Recap'!U$2:U$15)</f>
        <v>447.88</v>
      </c>
      <c r="T6" s="10">
        <f>_xlfn.XLOOKUP(Table1[[#This Row],[Team]],'Draft Recap'!$S$2:$S$15,'Draft Recap'!V$2:V$15)</f>
        <v>0</v>
      </c>
      <c r="U6" s="10">
        <f>_xlfn.XLOOKUP(Table1[[#This Row],[Team]],'Draft Recap'!$S$2:$S$15,'Draft Recap'!W$2:W$15)</f>
        <v>2537.9866666666667</v>
      </c>
      <c r="V6" s="10">
        <f>_xlfn.XLOOKUP(Table1[[#This Row],[Team]],'Draft Recap'!$S$2:$S$15,'Draft Recap'!X$2:X$15)</f>
        <v>310.98666666666668</v>
      </c>
      <c r="W6" s="10">
        <f>_xlfn.XLOOKUP(Table1[[#This Row],[Team]],'Draft Recap'!$S$2:$S$15,'Draft Recap'!Y$2:Y$15)</f>
        <v>2</v>
      </c>
      <c r="X6" s="10">
        <f>_xlfn.XLOOKUP(Table1[[#This Row],[Team]],'Draft Recap'!$S$2:$S$15,'Draft Recap'!Z$2:Z$15)</f>
        <v>4.25</v>
      </c>
      <c r="Y6" s="10">
        <f ca="1">_xlfn.XLOOKUP(Table1[[#This Row],[Team]],'Draft Recap'!$S$2:$S$15,'Draft Recap'!AA$2:AA$15)</f>
        <v>36.080000000000005</v>
      </c>
      <c r="Z6" s="10">
        <f ca="1">_xlfn.XLOOKUP(Table1[[#This Row],[Team]],'Draft Recap'!$S$2:$S$15,'Draft Recap'!AB$2:AB$15)</f>
        <v>0</v>
      </c>
      <c r="AA6" s="11">
        <f ca="1">_xlfn.XLOOKUP(Table1[[#This Row],[Team]],'Draft Recap'!$S$2:$S$15,'Draft Recap'!AC$2:AC$15)</f>
        <v>1</v>
      </c>
      <c r="AB6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-5.0644371770514063E-4</v>
      </c>
      <c r="AC6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1.2190052192605669</v>
      </c>
    </row>
    <row r="7" spans="1:29" x14ac:dyDescent="0.2">
      <c r="A7" t="s">
        <v>309</v>
      </c>
      <c r="B7">
        <v>1</v>
      </c>
      <c r="C7" cm="1">
        <f t="array" aca="1" ref="C7" ca="1">SUMIFS([0]!Ideal_Points,[0]!Team_Total,'Team Summaries'!A7,[0]!Week_Total,'Team Summaries'!B7)</f>
        <v>144.5</v>
      </c>
      <c r="D7" cm="1">
        <f t="array" aca="1" ref="D7" ca="1">SUMIFS([0]!Actual_Points,[0]!Team_Total,'Team Summaries'!A7,[0]!Week_Total,'Team Summaries'!B7)</f>
        <v>144.5</v>
      </c>
      <c r="E7" cm="1">
        <f t="array" aca="1" ref="E7" ca="1">SUMIFS([0]!Missed_Points,[0]!Team_Total,'Team Summaries'!A7,[0]!Week_Total,'Team Summaries'!B7)</f>
        <v>0</v>
      </c>
      <c r="F7" cm="1">
        <f t="array" aca="1" ref="F7" ca="1">10-SUMIFS([0]!Non_Drafted_Player,[0]!Team_Total,'Team Summaries'!A7,[0]!Week_Total,'Team Summaries'!B7)</f>
        <v>0</v>
      </c>
      <c r="G7" cm="1">
        <f t="array" aca="1" ref="G7" ca="1">SUMIFS([0]!ND_Starter_Points,[0]!Team_Total,'Team Summaries'!A7,[0]!Week_Total,'Team Summaries'!B7)</f>
        <v>0</v>
      </c>
      <c r="H7" s="7"/>
      <c r="I7">
        <f t="shared" si="1"/>
        <v>5</v>
      </c>
      <c r="J7" t="s">
        <v>478</v>
      </c>
      <c r="K7" s="6">
        <f t="shared" ca="1" si="0"/>
        <v>135.36666666666667</v>
      </c>
      <c r="L7" s="6">
        <f ca="1">AVERAGEIF($A$2:$A$1000,Table1[[#This Row],[Team]],$D$2:$D$1000)</f>
        <v>119.86666666666666</v>
      </c>
      <c r="M7" s="6">
        <f ca="1">AVERAGEIF($A$2:$A$1000,Table1[[#This Row],[Team]],$E$2:$E$1000)</f>
        <v>15.500000000000002</v>
      </c>
      <c r="N7" s="11">
        <f ca="1">Table1[[#This Row],[Actual Points]]/Table1[[#This Row],[Possible Points]]</f>
        <v>0.88549618320610679</v>
      </c>
      <c r="O7" s="6">
        <f ca="1">AVERAGEIF($A$2:$A$1000,Table1[[#This Row],[Team]],$F$2:$F$1000)</f>
        <v>0.33333333333333331</v>
      </c>
      <c r="P7" s="6">
        <f ca="1">AVERAGEIF($A$2:$A$1000,Table1[[#This Row],[Team]],$G$2:$G$1000)</f>
        <v>4.5466666666666669</v>
      </c>
      <c r="Q7" s="10">
        <f>_xlfn.XLOOKUP(Table1[[#This Row],[Team]],'Draft Recap'!$S$2:$S$15,'Draft Recap'!T$2:T$15)</f>
        <v>2558</v>
      </c>
      <c r="R7" s="10">
        <v>1904</v>
      </c>
      <c r="S7" s="10">
        <f>_xlfn.XLOOKUP(Table1[[#This Row],[Team]],'Draft Recap'!$S$2:$S$15,'Draft Recap'!U$2:U$15)</f>
        <v>455.04</v>
      </c>
      <c r="T7" s="10">
        <f>_xlfn.XLOOKUP(Table1[[#This Row],[Team]],'Draft Recap'!$S$2:$S$15,'Draft Recap'!V$2:V$15)</f>
        <v>0</v>
      </c>
      <c r="U7" s="10">
        <f>_xlfn.XLOOKUP(Table1[[#This Row],[Team]],'Draft Recap'!$S$2:$S$15,'Draft Recap'!W$2:W$15)</f>
        <v>2578.5600000000004</v>
      </c>
      <c r="V7" s="10">
        <f>_xlfn.XLOOKUP(Table1[[#This Row],[Team]],'Draft Recap'!$S$2:$S$15,'Draft Recap'!X$2:X$15)</f>
        <v>20.560000000000088</v>
      </c>
      <c r="W7" s="10">
        <f>_xlfn.XLOOKUP(Table1[[#This Row],[Team]],'Draft Recap'!$S$2:$S$15,'Draft Recap'!Y$2:Y$15)</f>
        <v>0</v>
      </c>
      <c r="X7" s="10">
        <f>_xlfn.XLOOKUP(Table1[[#This Row],[Team]],'Draft Recap'!$S$2:$S$15,'Draft Recap'!Z$2:Z$15)</f>
        <v>0</v>
      </c>
      <c r="Y7" s="10">
        <f ca="1">_xlfn.XLOOKUP(Table1[[#This Row],[Team]],'Draft Recap'!$S$2:$S$15,'Draft Recap'!AA$2:AA$15)</f>
        <v>16.919999999999987</v>
      </c>
      <c r="Z7" s="10">
        <f ca="1">_xlfn.XLOOKUP(Table1[[#This Row],[Team]],'Draft Recap'!$S$2:$S$15,'Draft Recap'!AB$2:AB$15)</f>
        <v>7.8600000000000136</v>
      </c>
      <c r="AA7" s="11">
        <f ca="1">_xlfn.XLOOKUP(Table1[[#This Row],[Team]],'Draft Recap'!$S$2:$S$15,'Draft Recap'!AC$2:AC$15)</f>
        <v>1</v>
      </c>
      <c r="AB7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0.34517239402116978</v>
      </c>
      <c r="AC7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0.22068710892518839</v>
      </c>
    </row>
    <row r="8" spans="1:29" x14ac:dyDescent="0.2">
      <c r="A8" t="s">
        <v>483</v>
      </c>
      <c r="B8">
        <v>1</v>
      </c>
      <c r="C8" cm="1">
        <f t="array" aca="1" ref="C8" ca="1">SUMIFS([0]!Ideal_Points,[0]!Team_Total,'Team Summaries'!A8,[0]!Week_Total,'Team Summaries'!B8)</f>
        <v>110.99999999999999</v>
      </c>
      <c r="D8" cm="1">
        <f t="array" aca="1" ref="D8" ca="1">SUMIFS([0]!Actual_Points,[0]!Team_Total,'Team Summaries'!A8,[0]!Week_Total,'Team Summaries'!B8)</f>
        <v>110.99999999999999</v>
      </c>
      <c r="E8" cm="1">
        <f t="array" aca="1" ref="E8" ca="1">SUMIFS([0]!Missed_Points,[0]!Team_Total,'Team Summaries'!A8,[0]!Week_Total,'Team Summaries'!B8)</f>
        <v>0</v>
      </c>
      <c r="F8" cm="1">
        <f t="array" aca="1" ref="F8" ca="1">10-SUMIFS([0]!Non_Drafted_Player,[0]!Team_Total,'Team Summaries'!A8,[0]!Week_Total,'Team Summaries'!B8)</f>
        <v>1</v>
      </c>
      <c r="G8" cm="1">
        <f t="array" aca="1" ref="G8" ca="1">SUMIFS([0]!ND_Starter_Points,[0]!Team_Total,'Team Summaries'!A8,[0]!Week_Total,'Team Summaries'!B8)</f>
        <v>7</v>
      </c>
      <c r="H8" s="7"/>
      <c r="I8">
        <f t="shared" si="1"/>
        <v>6</v>
      </c>
      <c r="J8" t="s">
        <v>309</v>
      </c>
      <c r="K8" s="6">
        <f t="shared" ca="1" si="0"/>
        <v>140.96</v>
      </c>
      <c r="L8" s="6">
        <f ca="1">AVERAGEIF($A$2:$A$1000,Table1[[#This Row],[Team]],$D$2:$D$1000)</f>
        <v>136.39333333333335</v>
      </c>
      <c r="M8" s="6">
        <f ca="1">AVERAGEIF($A$2:$A$1000,Table1[[#This Row],[Team]],$E$2:$E$1000)</f>
        <v>4.5666666666666673</v>
      </c>
      <c r="N8" s="11">
        <f ca="1">Table1[[#This Row],[Actual Points]]/Table1[[#This Row],[Possible Points]]</f>
        <v>0.96760310253499815</v>
      </c>
      <c r="O8" s="6">
        <f ca="1">AVERAGEIF($A$2:$A$1000,Table1[[#This Row],[Team]],$F$2:$F$1000)</f>
        <v>0.33333333333333331</v>
      </c>
      <c r="P8" s="6">
        <f ca="1">AVERAGEIF($A$2:$A$1000,Table1[[#This Row],[Team]],$G$2:$G$1000)</f>
        <v>7.4066666666666663</v>
      </c>
      <c r="Q8" s="10">
        <f>_xlfn.XLOOKUP(Table1[[#This Row],[Team]],'Draft Recap'!$S$2:$S$15,'Draft Recap'!T$2:T$15)</f>
        <v>2178</v>
      </c>
      <c r="R8" s="10">
        <v>1881</v>
      </c>
      <c r="S8" s="10">
        <f>_xlfn.XLOOKUP(Table1[[#This Row],[Team]],'Draft Recap'!$S$2:$S$15,'Draft Recap'!U$2:U$15)</f>
        <v>414.46000000000004</v>
      </c>
      <c r="T8" s="10">
        <f>_xlfn.XLOOKUP(Table1[[#This Row],[Team]],'Draft Recap'!$S$2:$S$15,'Draft Recap'!V$2:V$15)</f>
        <v>0</v>
      </c>
      <c r="U8" s="10">
        <f>_xlfn.XLOOKUP(Table1[[#This Row],[Team]],'Draft Recap'!$S$2:$S$15,'Draft Recap'!W$2:W$15)</f>
        <v>2348.6066666666666</v>
      </c>
      <c r="V8" s="10">
        <f>_xlfn.XLOOKUP(Table1[[#This Row],[Team]],'Draft Recap'!$S$2:$S$15,'Draft Recap'!X$2:X$15)</f>
        <v>170.60666666666671</v>
      </c>
      <c r="W8" s="10">
        <f>_xlfn.XLOOKUP(Table1[[#This Row],[Team]],'Draft Recap'!$S$2:$S$15,'Draft Recap'!Y$2:Y$15)</f>
        <v>1</v>
      </c>
      <c r="X8" s="10">
        <f>_xlfn.XLOOKUP(Table1[[#This Row],[Team]],'Draft Recap'!$S$2:$S$15,'Draft Recap'!Z$2:Z$15)</f>
        <v>2</v>
      </c>
      <c r="Y8" s="10">
        <f ca="1">_xlfn.XLOOKUP(Table1[[#This Row],[Team]],'Draft Recap'!$S$2:$S$15,'Draft Recap'!AA$2:AA$15)</f>
        <v>22.360000000000014</v>
      </c>
      <c r="Z8" s="10">
        <f ca="1">_xlfn.XLOOKUP(Table1[[#This Row],[Team]],'Draft Recap'!$S$2:$S$15,'Draft Recap'!AB$2:AB$15)</f>
        <v>22.08</v>
      </c>
      <c r="AA8" s="11">
        <f ca="1">_xlfn.XLOOKUP(Table1[[#This Row],[Team]],'Draft Recap'!$S$2:$S$15,'Draft Recap'!AC$2:AC$15)</f>
        <v>1.0616324264297612</v>
      </c>
      <c r="AB8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0.34958323351764947</v>
      </c>
      <c r="AC8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0.77002374107074534</v>
      </c>
    </row>
    <row r="9" spans="1:29" x14ac:dyDescent="0.2">
      <c r="A9" t="s">
        <v>484</v>
      </c>
      <c r="B9">
        <v>1</v>
      </c>
      <c r="C9" cm="1">
        <f t="array" aca="1" ref="C9" ca="1">SUMIFS([0]!Ideal_Points,[0]!Team_Total,'Team Summaries'!A9,[0]!Week_Total,'Team Summaries'!B9)</f>
        <v>115.04</v>
      </c>
      <c r="D9" cm="1">
        <f t="array" aca="1" ref="D9" ca="1">SUMIFS([0]!Actual_Points,[0]!Team_Total,'Team Summaries'!A9,[0]!Week_Total,'Team Summaries'!B9)</f>
        <v>80.56</v>
      </c>
      <c r="E9" cm="1">
        <f t="array" aca="1" ref="E9" ca="1">SUMIFS([0]!Missed_Points,[0]!Team_Total,'Team Summaries'!A9,[0]!Week_Total,'Team Summaries'!B9)</f>
        <v>34.479999999999997</v>
      </c>
      <c r="F9" cm="1">
        <f t="array" aca="1" ref="F9" ca="1">10-SUMIFS([0]!Non_Drafted_Player,[0]!Team_Total,'Team Summaries'!A9,[0]!Week_Total,'Team Summaries'!B9)</f>
        <v>0</v>
      </c>
      <c r="G9" cm="1">
        <f t="array" aca="1" ref="G9" ca="1">SUMIFS([0]!ND_Starter_Points,[0]!Team_Total,'Team Summaries'!A9,[0]!Week_Total,'Team Summaries'!B9)</f>
        <v>0</v>
      </c>
      <c r="H9" s="7"/>
      <c r="I9">
        <f t="shared" si="1"/>
        <v>7</v>
      </c>
      <c r="J9" t="s">
        <v>483</v>
      </c>
      <c r="K9" s="6">
        <f t="shared" ca="1" si="0"/>
        <v>124.27999999999999</v>
      </c>
      <c r="L9" s="6">
        <f ca="1">AVERAGEIF($A$2:$A$1000,Table1[[#This Row],[Team]],$D$2:$D$1000)</f>
        <v>110.15999999999998</v>
      </c>
      <c r="M9" s="6">
        <f ca="1">AVERAGEIF($A$2:$A$1000,Table1[[#This Row],[Team]],$E$2:$E$1000)</f>
        <v>14.12</v>
      </c>
      <c r="N9" s="11">
        <f ca="1">Table1[[#This Row],[Actual Points]]/Table1[[#This Row],[Possible Points]]</f>
        <v>0.88638558094625031</v>
      </c>
      <c r="O9" s="6">
        <f ca="1">AVERAGEIF($A$2:$A$1000,Table1[[#This Row],[Team]],$F$2:$F$1000)</f>
        <v>1.3333333333333333</v>
      </c>
      <c r="P9" s="6">
        <f ca="1">AVERAGEIF($A$2:$A$1000,Table1[[#This Row],[Team]],$G$2:$G$1000)</f>
        <v>13.333333333333334</v>
      </c>
      <c r="Q9" s="10">
        <f>_xlfn.XLOOKUP(Table1[[#This Row],[Team]],'Draft Recap'!$S$2:$S$15,'Draft Recap'!T$2:T$15)</f>
        <v>2425</v>
      </c>
      <c r="R9" s="10">
        <v>1874</v>
      </c>
      <c r="S9" s="10">
        <f>_xlfn.XLOOKUP(Table1[[#This Row],[Team]],'Draft Recap'!$S$2:$S$15,'Draft Recap'!U$2:U$15)</f>
        <v>398.46000000000004</v>
      </c>
      <c r="T9" s="10">
        <f>_xlfn.XLOOKUP(Table1[[#This Row],[Team]],'Draft Recap'!$S$2:$S$15,'Draft Recap'!V$2:V$15)</f>
        <v>0</v>
      </c>
      <c r="U9" s="10">
        <f>_xlfn.XLOOKUP(Table1[[#This Row],[Team]],'Draft Recap'!$S$2:$S$15,'Draft Recap'!W$2:W$15)</f>
        <v>2257.94</v>
      </c>
      <c r="V9" s="10">
        <f>_xlfn.XLOOKUP(Table1[[#This Row],[Team]],'Draft Recap'!$S$2:$S$15,'Draft Recap'!X$2:X$15)</f>
        <v>-167.06000000000009</v>
      </c>
      <c r="W9" s="10">
        <f>_xlfn.XLOOKUP(Table1[[#This Row],[Team]],'Draft Recap'!$S$2:$S$15,'Draft Recap'!Y$2:Y$15)</f>
        <v>2</v>
      </c>
      <c r="X9" s="10">
        <f>_xlfn.XLOOKUP(Table1[[#This Row],[Team]],'Draft Recap'!$S$2:$S$15,'Draft Recap'!Z$2:Z$15)</f>
        <v>1.25</v>
      </c>
      <c r="Y9" s="10">
        <f ca="1">_xlfn.XLOOKUP(Table1[[#This Row],[Team]],'Draft Recap'!$S$2:$S$15,'Draft Recap'!AA$2:AA$15)</f>
        <v>37.039999999999992</v>
      </c>
      <c r="Z9" s="10">
        <f ca="1">_xlfn.XLOOKUP(Table1[[#This Row],[Team]],'Draft Recap'!$S$2:$S$15,'Draft Recap'!AB$2:AB$15)</f>
        <v>35.499999999999986</v>
      </c>
      <c r="AA9" s="11">
        <f ca="1">_xlfn.XLOOKUP(Table1[[#This Row],[Team]],'Draft Recap'!$S$2:$S$15,'Draft Recap'!AC$2:AC$15)</f>
        <v>1</v>
      </c>
      <c r="AB9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0.23853729362051174</v>
      </c>
      <c r="AC9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0.48525626398919286</v>
      </c>
    </row>
    <row r="10" spans="1:29" x14ac:dyDescent="0.2">
      <c r="A10" t="s">
        <v>256</v>
      </c>
      <c r="B10">
        <v>1</v>
      </c>
      <c r="C10" cm="1">
        <f t="array" aca="1" ref="C10" ca="1">SUMIFS([0]!Ideal_Points,[0]!Team_Total,'Team Summaries'!A10,[0]!Week_Total,'Team Summaries'!B10)</f>
        <v>128.52000000000001</v>
      </c>
      <c r="D10" cm="1">
        <f t="array" aca="1" ref="D10" ca="1">SUMIFS([0]!Actual_Points,[0]!Team_Total,'Team Summaries'!A10,[0]!Week_Total,'Team Summaries'!B10)</f>
        <v>122.52000000000001</v>
      </c>
      <c r="E10" cm="1">
        <f t="array" aca="1" ref="E10" ca="1">SUMIFS([0]!Missed_Points,[0]!Team_Total,'Team Summaries'!A10,[0]!Week_Total,'Team Summaries'!B10)</f>
        <v>6</v>
      </c>
      <c r="F10" cm="1">
        <f t="array" aca="1" ref="F10" ca="1">10-SUMIFS([0]!Non_Drafted_Player,[0]!Team_Total,'Team Summaries'!A10,[0]!Week_Total,'Team Summaries'!B10)</f>
        <v>0</v>
      </c>
      <c r="G10" cm="1">
        <f t="array" aca="1" ref="G10" ca="1">SUMIFS([0]!ND_Starter_Points,[0]!Team_Total,'Team Summaries'!A10,[0]!Week_Total,'Team Summaries'!B10)</f>
        <v>0</v>
      </c>
      <c r="H10" s="7"/>
      <c r="I10">
        <f t="shared" si="1"/>
        <v>8</v>
      </c>
      <c r="J10" t="s">
        <v>484</v>
      </c>
      <c r="K10" s="6">
        <f t="shared" ca="1" si="0"/>
        <v>115.66666666666669</v>
      </c>
      <c r="L10" s="6">
        <f ca="1">AVERAGEIF($A$2:$A$1000,Table1[[#This Row],[Team]],$D$2:$D$1000)</f>
        <v>96.473333333333343</v>
      </c>
      <c r="M10" s="6">
        <f ca="1">AVERAGEIF($A$2:$A$1000,Table1[[#This Row],[Team]],$E$2:$E$1000)</f>
        <v>19.193333333333332</v>
      </c>
      <c r="N10" s="11">
        <f ca="1">Table1[[#This Row],[Actual Points]]/Table1[[#This Row],[Possible Points]]</f>
        <v>0.83406340057636885</v>
      </c>
      <c r="O10" s="6">
        <f ca="1">AVERAGEIF($A$2:$A$1000,Table1[[#This Row],[Team]],$F$2:$F$1000)</f>
        <v>0</v>
      </c>
      <c r="P10" s="6">
        <f ca="1">AVERAGEIF($A$2:$A$1000,Table1[[#This Row],[Team]],$G$2:$G$1000)</f>
        <v>0</v>
      </c>
      <c r="Q10" s="10">
        <f>_xlfn.XLOOKUP(Table1[[#This Row],[Team]],'Draft Recap'!$S$2:$S$15,'Draft Recap'!T$2:T$15)</f>
        <v>2523</v>
      </c>
      <c r="R10" s="10">
        <v>1875</v>
      </c>
      <c r="S10" s="10">
        <f>_xlfn.XLOOKUP(Table1[[#This Row],[Team]],'Draft Recap'!$S$2:$S$15,'Draft Recap'!U$2:U$15)</f>
        <v>419.79999999999995</v>
      </c>
      <c r="T10" s="10">
        <f>_xlfn.XLOOKUP(Table1[[#This Row],[Team]],'Draft Recap'!$S$2:$S$15,'Draft Recap'!V$2:V$15)</f>
        <v>0</v>
      </c>
      <c r="U10" s="10">
        <f>_xlfn.XLOOKUP(Table1[[#This Row],[Team]],'Draft Recap'!$S$2:$S$15,'Draft Recap'!W$2:W$15)</f>
        <v>2378.8666666666668</v>
      </c>
      <c r="V10" s="10">
        <f>_xlfn.XLOOKUP(Table1[[#This Row],[Team]],'Draft Recap'!$S$2:$S$15,'Draft Recap'!X$2:X$15)</f>
        <v>-144.13333333333333</v>
      </c>
      <c r="W10" s="10">
        <f>_xlfn.XLOOKUP(Table1[[#This Row],[Team]],'Draft Recap'!$S$2:$S$15,'Draft Recap'!Y$2:Y$15)</f>
        <v>2</v>
      </c>
      <c r="X10" s="10">
        <f>_xlfn.XLOOKUP(Table1[[#This Row],[Team]],'Draft Recap'!$S$2:$S$15,'Draft Recap'!Z$2:Z$15)</f>
        <v>7</v>
      </c>
      <c r="Y10" s="10">
        <f ca="1">_xlfn.XLOOKUP(Table1[[#This Row],[Team]],'Draft Recap'!$S$2:$S$15,'Draft Recap'!AA$2:AA$15)</f>
        <v>34.44</v>
      </c>
      <c r="Z10" s="10">
        <f ca="1">_xlfn.XLOOKUP(Table1[[#This Row],[Team]],'Draft Recap'!$S$2:$S$15,'Draft Recap'!AB$2:AB$15)</f>
        <v>26.449999999999982</v>
      </c>
      <c r="AA10" s="11">
        <f ca="1">_xlfn.XLOOKUP(Table1[[#This Row],[Team]],'Draft Recap'!$S$2:$S$15,'Draft Recap'!AC$2:AC$15)</f>
        <v>1</v>
      </c>
      <c r="AB10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-0.15023747672321691</v>
      </c>
      <c r="AC10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-0.66659723990716946</v>
      </c>
    </row>
    <row r="11" spans="1:29" x14ac:dyDescent="0.2">
      <c r="A11" t="s">
        <v>343</v>
      </c>
      <c r="B11">
        <v>1</v>
      </c>
      <c r="C11" cm="1">
        <f t="array" aca="1" ref="C11" ca="1">SUMIFS([0]!Ideal_Points,[0]!Team_Total,'Team Summaries'!A11,[0]!Week_Total,'Team Summaries'!B11)</f>
        <v>92.759999999999991</v>
      </c>
      <c r="D11" cm="1">
        <f t="array" aca="1" ref="D11" ca="1">SUMIFS([0]!Actual_Points,[0]!Team_Total,'Team Summaries'!A11,[0]!Week_Total,'Team Summaries'!B11)</f>
        <v>87.259999999999991</v>
      </c>
      <c r="E11" cm="1">
        <f t="array" aca="1" ref="E11" ca="1">SUMIFS([0]!Missed_Points,[0]!Team_Total,'Team Summaries'!A11,[0]!Week_Total,'Team Summaries'!B11)</f>
        <v>5.5</v>
      </c>
      <c r="F11" cm="1">
        <f t="array" aca="1" ref="F11" ca="1">10-SUMIFS([0]!Non_Drafted_Player,[0]!Team_Total,'Team Summaries'!A11,[0]!Week_Total,'Team Summaries'!B11)</f>
        <v>0</v>
      </c>
      <c r="G11" cm="1">
        <f t="array" aca="1" ref="G11" ca="1">SUMIFS([0]!ND_Starter_Points,[0]!Team_Total,'Team Summaries'!A11,[0]!Week_Total,'Team Summaries'!B11)</f>
        <v>0</v>
      </c>
      <c r="H11" s="7"/>
      <c r="I11">
        <f t="shared" si="1"/>
        <v>9</v>
      </c>
      <c r="J11" t="s">
        <v>256</v>
      </c>
      <c r="K11" s="6">
        <f t="shared" ca="1" si="0"/>
        <v>111.16666666666667</v>
      </c>
      <c r="L11" s="6">
        <f ca="1">AVERAGEIF($A$2:$A$1000,Table1[[#This Row],[Team]],$D$2:$D$1000)</f>
        <v>106.83333333333333</v>
      </c>
      <c r="M11" s="6">
        <f ca="1">AVERAGEIF($A$2:$A$1000,Table1[[#This Row],[Team]],$E$2:$E$1000)</f>
        <v>4.333333333333333</v>
      </c>
      <c r="N11" s="11">
        <f ca="1">Table1[[#This Row],[Actual Points]]/Table1[[#This Row],[Possible Points]]</f>
        <v>0.96101949025487243</v>
      </c>
      <c r="O11" s="6">
        <f ca="1">AVERAGEIF($A$2:$A$1000,Table1[[#This Row],[Team]],$F$2:$F$1000)</f>
        <v>0.66666666666666663</v>
      </c>
      <c r="P11" s="6">
        <f ca="1">AVERAGEIF($A$2:$A$1000,Table1[[#This Row],[Team]],$G$2:$G$1000)</f>
        <v>3.6999999999999997</v>
      </c>
      <c r="Q11" s="10">
        <f>_xlfn.XLOOKUP(Table1[[#This Row],[Team]],'Draft Recap'!$S$2:$S$15,'Draft Recap'!T$2:T$15)</f>
        <v>2298</v>
      </c>
      <c r="R11" s="10">
        <v>1859</v>
      </c>
      <c r="S11" s="10">
        <f>_xlfn.XLOOKUP(Table1[[#This Row],[Team]],'Draft Recap'!$S$2:$S$15,'Draft Recap'!U$2:U$15)</f>
        <v>352.8</v>
      </c>
      <c r="T11" s="10">
        <f>_xlfn.XLOOKUP(Table1[[#This Row],[Team]],'Draft Recap'!$S$2:$S$15,'Draft Recap'!V$2:V$15)</f>
        <v>0</v>
      </c>
      <c r="U11" s="10">
        <f>_xlfn.XLOOKUP(Table1[[#This Row],[Team]],'Draft Recap'!$S$2:$S$15,'Draft Recap'!W$2:W$15)</f>
        <v>1999.1999999999998</v>
      </c>
      <c r="V11" s="10">
        <f>_xlfn.XLOOKUP(Table1[[#This Row],[Team]],'Draft Recap'!$S$2:$S$15,'Draft Recap'!X$2:X$15)</f>
        <v>-298.8</v>
      </c>
      <c r="W11" s="10">
        <f>_xlfn.XLOOKUP(Table1[[#This Row],[Team]],'Draft Recap'!$S$2:$S$15,'Draft Recap'!Y$2:Y$15)</f>
        <v>1</v>
      </c>
      <c r="X11" s="10">
        <f>_xlfn.XLOOKUP(Table1[[#This Row],[Team]],'Draft Recap'!$S$2:$S$15,'Draft Recap'!Z$2:Z$15)</f>
        <v>2</v>
      </c>
      <c r="Y11" s="10">
        <f ca="1">_xlfn.XLOOKUP(Table1[[#This Row],[Team]],'Draft Recap'!$S$2:$S$15,'Draft Recap'!AA$2:AA$15)</f>
        <v>29.780000000000015</v>
      </c>
      <c r="Z11" s="10">
        <f ca="1">_xlfn.XLOOKUP(Table1[[#This Row],[Team]],'Draft Recap'!$S$2:$S$15,'Draft Recap'!AB$2:AB$15)</f>
        <v>31.379999999999995</v>
      </c>
      <c r="AA11" s="11">
        <f ca="1">_xlfn.XLOOKUP(Table1[[#This Row],[Team]],'Draft Recap'!$S$2:$S$15,'Draft Recap'!AC$2:AC$15)</f>
        <v>0.94539544962080146</v>
      </c>
      <c r="AB11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0.23349576012309314</v>
      </c>
      <c r="AC11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0.31119769618659548</v>
      </c>
    </row>
    <row r="12" spans="1:29" x14ac:dyDescent="0.2">
      <c r="A12" t="s">
        <v>308</v>
      </c>
      <c r="B12">
        <v>1</v>
      </c>
      <c r="C12" cm="1">
        <f t="array" aca="1" ref="C12" ca="1">SUMIFS([0]!Ideal_Points,[0]!Team_Total,'Team Summaries'!A12,[0]!Week_Total,'Team Summaries'!B12)</f>
        <v>151.06</v>
      </c>
      <c r="D12" cm="1">
        <f t="array" aca="1" ref="D12" ca="1">SUMIFS([0]!Actual_Points,[0]!Team_Total,'Team Summaries'!A12,[0]!Week_Total,'Team Summaries'!B12)</f>
        <v>137.48000000000002</v>
      </c>
      <c r="E12" cm="1">
        <f t="array" aca="1" ref="E12" ca="1">SUMIFS([0]!Missed_Points,[0]!Team_Total,'Team Summaries'!A12,[0]!Week_Total,'Team Summaries'!B12)</f>
        <v>13.579999999999998</v>
      </c>
      <c r="F12" cm="1">
        <f t="array" aca="1" ref="F12" ca="1">10-SUMIFS([0]!Non_Drafted_Player,[0]!Team_Total,'Team Summaries'!A12,[0]!Week_Total,'Team Summaries'!B12)</f>
        <v>0</v>
      </c>
      <c r="G12" cm="1">
        <f t="array" aca="1" ref="G12" ca="1">SUMIFS([0]!ND_Starter_Points,[0]!Team_Total,'Team Summaries'!A12,[0]!Week_Total,'Team Summaries'!B12)</f>
        <v>0</v>
      </c>
      <c r="H12" s="7"/>
      <c r="I12">
        <f t="shared" si="1"/>
        <v>10</v>
      </c>
      <c r="J12" t="s">
        <v>343</v>
      </c>
      <c r="K12" s="6">
        <f t="shared" ca="1" si="0"/>
        <v>102.68666666666667</v>
      </c>
      <c r="L12" s="6">
        <f ca="1">AVERAGEIF($A$2:$A$1000,Table1[[#This Row],[Team]],$D$2:$D$1000)</f>
        <v>91.466666666666654</v>
      </c>
      <c r="M12" s="19">
        <f ca="1">AVERAGEIF($A$2:$A$1000,Table1[[#This Row],[Team]],$E$2:$E$1000)</f>
        <v>11.219999999999999</v>
      </c>
      <c r="N12" s="11">
        <f ca="1">Table1[[#This Row],[Actual Points]]/Table1[[#This Row],[Possible Points]]</f>
        <v>0.89073557099266365</v>
      </c>
      <c r="O12" s="6">
        <f ca="1">AVERAGEIF($A$2:$A$1000,Table1[[#This Row],[Team]],$F$2:$F$1000)</f>
        <v>0</v>
      </c>
      <c r="P12" s="19">
        <f ca="1">AVERAGEIF($A$2:$A$1000,Table1[[#This Row],[Team]],$G$2:$G$1000)</f>
        <v>0</v>
      </c>
      <c r="Q12" s="10">
        <f>_xlfn.XLOOKUP(Table1[[#This Row],[Team]],'Draft Recap'!$S$2:$S$15,'Draft Recap'!T$2:T$15)</f>
        <v>2433</v>
      </c>
      <c r="R12" s="10">
        <v>1830</v>
      </c>
      <c r="S12" s="10">
        <f>_xlfn.XLOOKUP(Table1[[#This Row],[Team]],'Draft Recap'!$S$2:$S$15,'Draft Recap'!U$2:U$15)</f>
        <v>364.40000000000003</v>
      </c>
      <c r="T12" s="10">
        <f>_xlfn.XLOOKUP(Table1[[#This Row],[Team]],'Draft Recap'!$S$2:$S$15,'Draft Recap'!V$2:V$15)</f>
        <v>0</v>
      </c>
      <c r="U12" s="10">
        <f>_xlfn.XLOOKUP(Table1[[#This Row],[Team]],'Draft Recap'!$S$2:$S$15,'Draft Recap'!W$2:W$15)</f>
        <v>2064.9333333333334</v>
      </c>
      <c r="V12" s="10">
        <f>_xlfn.XLOOKUP(Table1[[#This Row],[Team]],'Draft Recap'!$S$2:$S$15,'Draft Recap'!X$2:X$15)</f>
        <v>-368.06666666666661</v>
      </c>
      <c r="W12" s="10">
        <f>_xlfn.XLOOKUP(Table1[[#This Row],[Team]],'Draft Recap'!$S$2:$S$15,'Draft Recap'!Y$2:Y$15)</f>
        <v>0</v>
      </c>
      <c r="X12" s="10">
        <f>_xlfn.XLOOKUP(Table1[[#This Row],[Team]],'Draft Recap'!$S$2:$S$15,'Draft Recap'!Z$2:Z$15)</f>
        <v>0</v>
      </c>
      <c r="Y12" s="10">
        <f ca="1">_xlfn.XLOOKUP(Table1[[#This Row],[Team]],'Draft Recap'!$S$2:$S$15,'Draft Recap'!AA$2:AA$15)</f>
        <v>0</v>
      </c>
      <c r="Z12" s="10">
        <f ca="1">_xlfn.XLOOKUP(Table1[[#This Row],[Team]],'Draft Recap'!$S$2:$S$15,'Draft Recap'!AB$2:AB$15)</f>
        <v>32.76</v>
      </c>
      <c r="AA12" s="11">
        <f ca="1">_xlfn.XLOOKUP(Table1[[#This Row],[Team]],'Draft Recap'!$S$2:$S$15,'Draft Recap'!AC$2:AC$15)</f>
        <v>1.3359858532272322</v>
      </c>
      <c r="AB12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-7.5371634677582566E-2</v>
      </c>
      <c r="AC12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-0.65931715820089487</v>
      </c>
    </row>
    <row r="13" spans="1:29" x14ac:dyDescent="0.2">
      <c r="A13" t="s">
        <v>494</v>
      </c>
      <c r="B13">
        <v>1</v>
      </c>
      <c r="C13" cm="1">
        <f t="array" aca="1" ref="C13" ca="1">SUMIFS([0]!Ideal_Points,[0]!Team_Total,'Team Summaries'!A13,[0]!Week_Total,'Team Summaries'!B13)</f>
        <v>128.89999999999998</v>
      </c>
      <c r="D13" cm="1">
        <f t="array" aca="1" ref="D13" ca="1">SUMIFS([0]!Actual_Points,[0]!Team_Total,'Team Summaries'!A13,[0]!Week_Total,'Team Summaries'!B13)</f>
        <v>110.4</v>
      </c>
      <c r="E13" cm="1">
        <f t="array" aca="1" ref="E13" ca="1">SUMIFS([0]!Missed_Points,[0]!Team_Total,'Team Summaries'!A13,[0]!Week_Total,'Team Summaries'!B13)</f>
        <v>18.5</v>
      </c>
      <c r="F13" cm="1">
        <f t="array" aca="1" ref="F13" ca="1">10-SUMIFS([0]!Non_Drafted_Player,[0]!Team_Total,'Team Summaries'!A13,[0]!Week_Total,'Team Summaries'!B13)</f>
        <v>0</v>
      </c>
      <c r="G13" cm="1">
        <f t="array" aca="1" ref="G13" ca="1">SUMIFS([0]!ND_Starter_Points,[0]!Team_Total,'Team Summaries'!A13,[0]!Week_Total,'Team Summaries'!B13)</f>
        <v>0</v>
      </c>
      <c r="H13" s="7"/>
      <c r="I13">
        <f t="shared" si="1"/>
        <v>11</v>
      </c>
      <c r="J13" t="s">
        <v>308</v>
      </c>
      <c r="K13" s="6">
        <f t="shared" ca="1" si="0"/>
        <v>123.50666666666666</v>
      </c>
      <c r="L13" s="6">
        <f ca="1">AVERAGEIF($A$2:$A$1000,Table1[[#This Row],[Team]],$D$2:$D$1000)</f>
        <v>118.13333333333333</v>
      </c>
      <c r="M13" s="6">
        <f ca="1">AVERAGEIF($A$2:$A$1000,Table1[[#This Row],[Team]],$E$2:$E$1000)</f>
        <v>5.3733333333333322</v>
      </c>
      <c r="N13" s="11">
        <f ca="1">Table1[[#This Row],[Actual Points]]/Table1[[#This Row],[Possible Points]]</f>
        <v>0.95649357659505563</v>
      </c>
      <c r="O13" s="6">
        <f ca="1">AVERAGEIF($A$2:$A$1000,Table1[[#This Row],[Team]],$F$2:$F$1000)</f>
        <v>0.33333333333333331</v>
      </c>
      <c r="P13" s="6">
        <f ca="1">AVERAGEIF($A$2:$A$1000,Table1[[#This Row],[Team]],$G$2:$G$1000)</f>
        <v>0.33333333333333331</v>
      </c>
      <c r="Q13" s="10">
        <f>_xlfn.XLOOKUP(Table1[[#This Row],[Team]],'Draft Recap'!$S$2:$S$15,'Draft Recap'!T$2:T$15)</f>
        <v>2486</v>
      </c>
      <c r="R13" s="10">
        <v>1791</v>
      </c>
      <c r="S13" s="10">
        <f>_xlfn.XLOOKUP(Table1[[#This Row],[Team]],'Draft Recap'!$S$2:$S$15,'Draft Recap'!U$2:U$15)</f>
        <v>438.14</v>
      </c>
      <c r="T13" s="10">
        <f>_xlfn.XLOOKUP(Table1[[#This Row],[Team]],'Draft Recap'!$S$2:$S$15,'Draft Recap'!V$2:V$15)</f>
        <v>0</v>
      </c>
      <c r="U13" s="10">
        <f>_xlfn.XLOOKUP(Table1[[#This Row],[Team]],'Draft Recap'!$S$2:$S$15,'Draft Recap'!W$2:W$15)</f>
        <v>2482.7933333333331</v>
      </c>
      <c r="V13" s="10">
        <f>_xlfn.XLOOKUP(Table1[[#This Row],[Team]],'Draft Recap'!$S$2:$S$15,'Draft Recap'!X$2:X$15)</f>
        <v>-3.2066666666667629</v>
      </c>
      <c r="W13" s="10">
        <f>_xlfn.XLOOKUP(Table1[[#This Row],[Team]],'Draft Recap'!$S$2:$S$15,'Draft Recap'!Y$2:Y$15)</f>
        <v>3</v>
      </c>
      <c r="X13" s="10">
        <f>_xlfn.XLOOKUP(Table1[[#This Row],[Team]],'Draft Recap'!$S$2:$S$15,'Draft Recap'!Z$2:Z$15)</f>
        <v>8.75</v>
      </c>
      <c r="Y13" s="10">
        <f ca="1">_xlfn.XLOOKUP(Table1[[#This Row],[Team]],'Draft Recap'!$S$2:$S$15,'Draft Recap'!AA$2:AA$15)</f>
        <v>31.29</v>
      </c>
      <c r="Z13" s="10">
        <f ca="1">_xlfn.XLOOKUP(Table1[[#This Row],[Team]],'Draft Recap'!$S$2:$S$15,'Draft Recap'!AB$2:AB$15)</f>
        <v>7.539999999999992</v>
      </c>
      <c r="AA13" s="11">
        <f ca="1">_xlfn.XLOOKUP(Table1[[#This Row],[Team]],'Draft Recap'!$S$2:$S$15,'Draft Recap'!AC$2:AC$15)</f>
        <v>0.913171305370443</v>
      </c>
      <c r="AB13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-0.17664747285556293</v>
      </c>
      <c r="AC13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-0.51546901441435267</v>
      </c>
    </row>
    <row r="14" spans="1:29" x14ac:dyDescent="0.2">
      <c r="A14" t="s">
        <v>499</v>
      </c>
      <c r="B14">
        <v>1</v>
      </c>
      <c r="C14" cm="1">
        <f t="array" aca="1" ref="C14" ca="1">SUMIFS([0]!Ideal_Points,[0]!Team_Total,'Team Summaries'!A14,[0]!Week_Total,'Team Summaries'!B14)</f>
        <v>145.06</v>
      </c>
      <c r="D14" cm="1">
        <f t="array" aca="1" ref="D14" ca="1">SUMIFS([0]!Actual_Points,[0]!Team_Total,'Team Summaries'!A14,[0]!Week_Total,'Team Summaries'!B14)</f>
        <v>144.16</v>
      </c>
      <c r="E14" cm="1">
        <f t="array" aca="1" ref="E14" ca="1">SUMIFS([0]!Missed_Points,[0]!Team_Total,'Team Summaries'!A14,[0]!Week_Total,'Team Summaries'!B14)</f>
        <v>0.9</v>
      </c>
      <c r="F14" cm="1">
        <f t="array" aca="1" ref="F14" ca="1">10-SUMIFS([0]!Non_Drafted_Player,[0]!Team_Total,'Team Summaries'!A14,[0]!Week_Total,'Team Summaries'!B14)</f>
        <v>0</v>
      </c>
      <c r="G14" cm="1">
        <f t="array" aca="1" ref="G14" ca="1">SUMIFS([0]!ND_Starter_Points,[0]!Team_Total,'Team Summaries'!A14,[0]!Week_Total,'Team Summaries'!B14)</f>
        <v>0</v>
      </c>
      <c r="H14" s="7"/>
      <c r="I14">
        <f t="shared" si="1"/>
        <v>12</v>
      </c>
      <c r="J14" t="s">
        <v>494</v>
      </c>
      <c r="K14" s="6">
        <f t="shared" ca="1" si="0"/>
        <v>99.179999999999993</v>
      </c>
      <c r="L14" s="6">
        <f ca="1">AVERAGEIF($A$2:$A$1000,Table1[[#This Row],[Team]],$D$2:$D$1000)</f>
        <v>91.313333333333333</v>
      </c>
      <c r="M14" s="6">
        <f ca="1">AVERAGEIF($A$2:$A$1000,Table1[[#This Row],[Team]],$E$2:$E$1000)</f>
        <v>7.8666666666666663</v>
      </c>
      <c r="N14" s="11">
        <f ca="1">Table1[[#This Row],[Actual Points]]/Table1[[#This Row],[Possible Points]]</f>
        <v>0.92068293338710772</v>
      </c>
      <c r="O14" s="6">
        <f ca="1">AVERAGEIF($A$2:$A$1000,Table1[[#This Row],[Team]],$F$2:$F$1000)</f>
        <v>0.66666666666666663</v>
      </c>
      <c r="P14" s="6">
        <f ca="1">AVERAGEIF($A$2:$A$1000,Table1[[#This Row],[Team]],$G$2:$G$1000)</f>
        <v>0.33333333333333331</v>
      </c>
      <c r="Q14" s="10">
        <f>_xlfn.XLOOKUP(Table1[[#This Row],[Team]],'Draft Recap'!$S$2:$S$15,'Draft Recap'!T$2:T$15)</f>
        <v>2483</v>
      </c>
      <c r="R14" s="10">
        <v>1800</v>
      </c>
      <c r="S14" s="10">
        <f>_xlfn.XLOOKUP(Table1[[#This Row],[Team]],'Draft Recap'!$S$2:$S$15,'Draft Recap'!U$2:U$15)</f>
        <v>341.38</v>
      </c>
      <c r="T14" s="10">
        <f>_xlfn.XLOOKUP(Table1[[#This Row],[Team]],'Draft Recap'!$S$2:$S$15,'Draft Recap'!V$2:V$15)</f>
        <v>0</v>
      </c>
      <c r="U14" s="10">
        <f>_xlfn.XLOOKUP(Table1[[#This Row],[Team]],'Draft Recap'!$S$2:$S$15,'Draft Recap'!W$2:W$15)</f>
        <v>1934.4866666666667</v>
      </c>
      <c r="V14" s="10">
        <f>_xlfn.XLOOKUP(Table1[[#This Row],[Team]],'Draft Recap'!$S$2:$S$15,'Draft Recap'!X$2:X$15)</f>
        <v>-548.51333333333321</v>
      </c>
      <c r="W14" s="10">
        <f>_xlfn.XLOOKUP(Table1[[#This Row],[Team]],'Draft Recap'!$S$2:$S$15,'Draft Recap'!Y$2:Y$15)</f>
        <v>3</v>
      </c>
      <c r="X14" s="10">
        <f>_xlfn.XLOOKUP(Table1[[#This Row],[Team]],'Draft Recap'!$S$2:$S$15,'Draft Recap'!Z$2:Z$15)</f>
        <v>3.75</v>
      </c>
      <c r="Y14" s="10">
        <f ca="1">_xlfn.XLOOKUP(Table1[[#This Row],[Team]],'Draft Recap'!$S$2:$S$15,'Draft Recap'!AA$2:AA$15)</f>
        <v>0</v>
      </c>
      <c r="Z14" s="10">
        <f ca="1">_xlfn.XLOOKUP(Table1[[#This Row],[Team]],'Draft Recap'!$S$2:$S$15,'Draft Recap'!AB$2:AB$15)</f>
        <v>34.920000000000009</v>
      </c>
      <c r="AA14" s="11">
        <f ca="1">_xlfn.XLOOKUP(Table1[[#This Row],[Team]],'Draft Recap'!$S$2:$S$15,'Draft Recap'!AC$2:AC$15)</f>
        <v>1.0472273004265695</v>
      </c>
      <c r="AB14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0.15424587548160165</v>
      </c>
      <c r="AC14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-0.69015019804559208</v>
      </c>
    </row>
    <row r="15" spans="1:29" x14ac:dyDescent="0.2">
      <c r="A15" t="s">
        <v>255</v>
      </c>
      <c r="B15">
        <v>1</v>
      </c>
      <c r="C15" cm="1">
        <f t="array" aca="1" ref="C15" ca="1">SUMIFS([0]!Ideal_Points,[0]!Team_Total,'Team Summaries'!A15,[0]!Week_Total,'Team Summaries'!B15)</f>
        <v>101.12</v>
      </c>
      <c r="D15" cm="1">
        <f t="array" aca="1" ref="D15" ca="1">SUMIFS([0]!Actual_Points,[0]!Team_Total,'Team Summaries'!A15,[0]!Week_Total,'Team Summaries'!B15)</f>
        <v>90.820000000000022</v>
      </c>
      <c r="E15" cm="1">
        <f t="array" aca="1" ref="E15" ca="1">SUMIFS([0]!Missed_Points,[0]!Team_Total,'Team Summaries'!A15,[0]!Week_Total,'Team Summaries'!B15)</f>
        <v>10.299999999999999</v>
      </c>
      <c r="F15" cm="1">
        <f t="array" aca="1" ref="F15" ca="1">10-SUMIFS([0]!Non_Drafted_Player,[0]!Team_Total,'Team Summaries'!A15,[0]!Week_Total,'Team Summaries'!B15)</f>
        <v>1</v>
      </c>
      <c r="G15" cm="1">
        <f t="array" aca="1" ref="G15" ca="1">SUMIFS([0]!ND_Starter_Points,[0]!Team_Total,'Team Summaries'!A15,[0]!Week_Total,'Team Summaries'!B15)</f>
        <v>3.7</v>
      </c>
      <c r="H15" s="7"/>
      <c r="I15">
        <f t="shared" si="1"/>
        <v>13</v>
      </c>
      <c r="J15" t="s">
        <v>499</v>
      </c>
      <c r="K15" s="6">
        <f t="shared" ca="1" si="0"/>
        <v>129.46</v>
      </c>
      <c r="L15" s="6">
        <f ca="1">AVERAGEIF($A$2:$A$1000,Table1[[#This Row],[Team]],$D$2:$D$1000)</f>
        <v>118.00666666666666</v>
      </c>
      <c r="M15" s="6">
        <f ca="1">AVERAGEIF($A$2:$A$1000,Table1[[#This Row],[Team]],$E$2:$E$1000)</f>
        <v>11.453333333333333</v>
      </c>
      <c r="N15" s="11">
        <f ca="1">Table1[[#This Row],[Actual Points]]/Table1[[#This Row],[Possible Points]]</f>
        <v>0.91152994489932526</v>
      </c>
      <c r="O15" s="6">
        <f ca="1">AVERAGEIF($A$2:$A$1000,Table1[[#This Row],[Team]],$F$2:$F$1000)</f>
        <v>1</v>
      </c>
      <c r="P15" s="6">
        <f ca="1">AVERAGEIF($A$2:$A$1000,Table1[[#This Row],[Team]],$G$2:$G$1000)</f>
        <v>13.51333333333333</v>
      </c>
      <c r="Q15" s="10">
        <f>_xlfn.XLOOKUP(Table1[[#This Row],[Team]],'Draft Recap'!$S$2:$S$15,'Draft Recap'!T$2:T$15)</f>
        <v>2360</v>
      </c>
      <c r="R15" s="10">
        <v>1791</v>
      </c>
      <c r="S15" s="10">
        <f>_xlfn.XLOOKUP(Table1[[#This Row],[Team]],'Draft Recap'!$S$2:$S$15,'Draft Recap'!U$2:U$15)</f>
        <v>405.48</v>
      </c>
      <c r="T15" s="10">
        <f>_xlfn.XLOOKUP(Table1[[#This Row],[Team]],'Draft Recap'!$S$2:$S$15,'Draft Recap'!V$2:V$15)</f>
        <v>0</v>
      </c>
      <c r="U15" s="10">
        <f>_xlfn.XLOOKUP(Table1[[#This Row],[Team]],'Draft Recap'!$S$2:$S$15,'Draft Recap'!W$2:W$15)</f>
        <v>2297.7200000000003</v>
      </c>
      <c r="V15" s="10">
        <f>_xlfn.XLOOKUP(Table1[[#This Row],[Team]],'Draft Recap'!$S$2:$S$15,'Draft Recap'!X$2:X$15)</f>
        <v>-62.280000000000058</v>
      </c>
      <c r="W15" s="10">
        <f>_xlfn.XLOOKUP(Table1[[#This Row],[Team]],'Draft Recap'!$S$2:$S$15,'Draft Recap'!Y$2:Y$15)</f>
        <v>3</v>
      </c>
      <c r="X15" s="10">
        <f>_xlfn.XLOOKUP(Table1[[#This Row],[Team]],'Draft Recap'!$S$2:$S$15,'Draft Recap'!Z$2:Z$15)</f>
        <v>9</v>
      </c>
      <c r="Y15" s="10">
        <f ca="1">_xlfn.XLOOKUP(Table1[[#This Row],[Team]],'Draft Recap'!$S$2:$S$15,'Draft Recap'!AA$2:AA$15)</f>
        <v>40.049999999999976</v>
      </c>
      <c r="Z15" s="10">
        <f ca="1">_xlfn.XLOOKUP(Table1[[#This Row],[Team]],'Draft Recap'!$S$2:$S$15,'Draft Recap'!AB$2:AB$15)</f>
        <v>24.300000000000011</v>
      </c>
      <c r="AA15" s="11">
        <f ca="1">_xlfn.XLOOKUP(Table1[[#This Row],[Team]],'Draft Recap'!$S$2:$S$15,'Draft Recap'!AC$2:AC$15)</f>
        <v>1</v>
      </c>
      <c r="AB15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-0.29429207150519143</v>
      </c>
      <c r="AC15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-5.2472454733865449E-2</v>
      </c>
    </row>
    <row r="16" spans="1:29" x14ac:dyDescent="0.2">
      <c r="A16" t="s">
        <v>545</v>
      </c>
      <c r="B16">
        <v>2</v>
      </c>
      <c r="C16" cm="1">
        <f t="array" aca="1" ref="C16" ca="1">SUMIFS([0]!Ideal_Points,[0]!Team_Total,'Team Summaries'!A16,[0]!Week_Total,'Team Summaries'!B16)</f>
        <v>108.21999999999998</v>
      </c>
      <c r="D16" cm="1">
        <f t="array" aca="1" ref="D16" ca="1">SUMIFS([0]!Actual_Points,[0]!Team_Total,'Team Summaries'!A16,[0]!Week_Total,'Team Summaries'!B16)</f>
        <v>102.03999999999999</v>
      </c>
      <c r="E16" cm="1">
        <f t="array" aca="1" ref="E16" ca="1">SUMIFS([0]!Missed_Points,[0]!Team_Total,'Team Summaries'!A16,[0]!Week_Total,'Team Summaries'!B16)</f>
        <v>6.18</v>
      </c>
      <c r="F16" cm="1">
        <f t="array" aca="1" ref="F16" ca="1">10-SUMIFS([0]!Non_Drafted_Player,[0]!Team_Total,'Team Summaries'!A16,[0]!Week_Total,'Team Summaries'!B16)</f>
        <v>0</v>
      </c>
      <c r="G16" cm="1">
        <f t="array" aca="1" ref="G16" ca="1">SUMIFS([0]!ND_Starter_Points,[0]!Team_Total,'Team Summaries'!A16,[0]!Week_Total,'Team Summaries'!B16)</f>
        <v>0</v>
      </c>
      <c r="H16" s="7"/>
      <c r="I16">
        <f t="shared" si="1"/>
        <v>14</v>
      </c>
      <c r="J16" t="s">
        <v>255</v>
      </c>
      <c r="K16" s="6">
        <f t="shared" ca="1" si="0"/>
        <v>118.44</v>
      </c>
      <c r="L16" s="6">
        <f ca="1">AVERAGEIF($A$2:$A$1000,Table1[[#This Row],[Team]],$D$2:$D$1000)</f>
        <v>104.53333333333335</v>
      </c>
      <c r="M16" s="6">
        <f ca="1">AVERAGEIF($A$2:$A$1000,Table1[[#This Row],[Team]],$E$2:$E$1000)</f>
        <v>13.906666666666666</v>
      </c>
      <c r="N16" s="11">
        <f ca="1">Table1[[#This Row],[Actual Points]]/Table1[[#This Row],[Possible Points]]</f>
        <v>0.88258471237194658</v>
      </c>
      <c r="O16" s="6">
        <f ca="1">AVERAGEIF($A$2:$A$1000,Table1[[#This Row],[Team]],$F$2:$F$1000)</f>
        <v>1.3333333333333333</v>
      </c>
      <c r="P16" s="6">
        <f ca="1">AVERAGEIF($A$2:$A$1000,Table1[[#This Row],[Team]],$G$2:$G$1000)</f>
        <v>7.333333333333333</v>
      </c>
      <c r="Q16" s="10">
        <f>_xlfn.XLOOKUP(Table1[[#This Row],[Team]],'Draft Recap'!$S$2:$S$15,'Draft Recap'!T$2:T$15)</f>
        <v>2408</v>
      </c>
      <c r="R16" s="10">
        <v>1871</v>
      </c>
      <c r="S16" s="10">
        <f>_xlfn.XLOOKUP(Table1[[#This Row],[Team]],'Draft Recap'!$S$2:$S$15,'Draft Recap'!U$2:U$15)</f>
        <v>400.88000000000005</v>
      </c>
      <c r="T16" s="10">
        <f>_xlfn.XLOOKUP(Table1[[#This Row],[Team]],'Draft Recap'!$S$2:$S$15,'Draft Recap'!V$2:V$15)</f>
        <v>0</v>
      </c>
      <c r="U16" s="10">
        <f>_xlfn.XLOOKUP(Table1[[#This Row],[Team]],'Draft Recap'!$S$2:$S$15,'Draft Recap'!W$2:W$15)</f>
        <v>2271.6533333333332</v>
      </c>
      <c r="V16" s="10">
        <f>_xlfn.XLOOKUP(Table1[[#This Row],[Team]],'Draft Recap'!$S$2:$S$15,'Draft Recap'!X$2:X$15)</f>
        <v>-136.34666666666672</v>
      </c>
      <c r="W16" s="10">
        <f>_xlfn.XLOOKUP(Table1[[#This Row],[Team]],'Draft Recap'!$S$2:$S$15,'Draft Recap'!Y$2:Y$15)</f>
        <v>0</v>
      </c>
      <c r="X16" s="10">
        <f>_xlfn.XLOOKUP(Table1[[#This Row],[Team]],'Draft Recap'!$S$2:$S$15,'Draft Recap'!Z$2:Z$15)</f>
        <v>0</v>
      </c>
      <c r="Y16" s="10">
        <f ca="1">_xlfn.XLOOKUP(Table1[[#This Row],[Team]],'Draft Recap'!$S$2:$S$15,'Draft Recap'!AA$2:AA$15)</f>
        <v>0</v>
      </c>
      <c r="Z16" s="10">
        <f ca="1">_xlfn.XLOOKUP(Table1[[#This Row],[Team]],'Draft Recap'!$S$2:$S$15,'Draft Recap'!AB$2:AB$15)</f>
        <v>30.886666666666656</v>
      </c>
      <c r="AA16" s="11">
        <f ca="1">_xlfn.XLOOKUP(Table1[[#This Row],[Team]],'Draft Recap'!$S$2:$S$15,'Draft Recap'!AC$2:AC$15)</f>
        <v>1.0489965397923877</v>
      </c>
      <c r="AB16" s="11">
        <f ca="1">AVERAGE((Table1[[#This Row],[Dif]]-AVERAGE(Table1[Dif]))/STDEV(Table1[Dif]),-(Table1[[#This Row],[Weighted INJ]]-AVERAGE(Table1[Weighted INJ]))/STDEV(Table1[Weighted INJ]),-(Table1[[#This Row],[MoV]]-AVERAGE(Table1[MoV]))/STDEV(Table1[MoV]),(Table1[[#This Row],[MoD]]-AVERAGE(Table1[MoD]))/STDEV(Table1[MoD]),-(Table1[[#This Row],[Opp Prop]]-AVERAGE(Table1[Opp Prop]))/STDEV(Table1[Opp Prop]))</f>
        <v>0.6318667916884908</v>
      </c>
      <c r="AC16" s="11">
        <f ca="1">AVERAGE((Table1[[#This Row],[Coaching Efficiency]]-AVERAGE(Table1[Coaching Efficiency]))/STDEV(Table1[Coaching Efficiency]),(Table1[[#This Row],[Undrafted Points]]-AVERAGE(Table1[Undrafted Points]))/STDEV(Table1[Undrafted Points]),(Table1[[#This Row],[Projection_Starters]]-AVERAGE(Table1[Projection_Starters]))/STDEV(Table1[Projection_Starters]))</f>
        <v>7.6465218424567105E-2</v>
      </c>
    </row>
    <row r="17" spans="1:27" x14ac:dyDescent="0.2">
      <c r="A17" t="s">
        <v>463</v>
      </c>
      <c r="B17">
        <v>2</v>
      </c>
      <c r="C17" cm="1">
        <f t="array" aca="1" ref="C17" ca="1">SUMIFS([0]!Ideal_Points,[0]!Team_Total,'Team Summaries'!A17,[0]!Week_Total,'Team Summaries'!B17)</f>
        <v>133.38</v>
      </c>
      <c r="D17" cm="1">
        <f t="array" aca="1" ref="D17" ca="1">SUMIFS([0]!Actual_Points,[0]!Team_Total,'Team Summaries'!A17,[0]!Week_Total,'Team Summaries'!B17)</f>
        <v>120.88</v>
      </c>
      <c r="E17" cm="1">
        <f t="array" aca="1" ref="E17" ca="1">SUMIFS([0]!Missed_Points,[0]!Team_Total,'Team Summaries'!A17,[0]!Week_Total,'Team Summaries'!B17)</f>
        <v>12.500000000000002</v>
      </c>
      <c r="F17" cm="1">
        <f t="array" aca="1" ref="F17" ca="1">10-SUMIFS([0]!Non_Drafted_Player,[0]!Team_Total,'Team Summaries'!A17,[0]!Week_Total,'Team Summaries'!B17)</f>
        <v>3</v>
      </c>
      <c r="G17" cm="1">
        <f t="array" aca="1" ref="G17" ca="1">SUMIFS([0]!ND_Starter_Points,[0]!Team_Total,'Team Summaries'!A17,[0]!Week_Total,'Team Summaries'!B17)</f>
        <v>17.8</v>
      </c>
      <c r="H17" s="7"/>
      <c r="M17" s="11"/>
      <c r="N17" s="11"/>
      <c r="P17" s="11"/>
      <c r="Q17" s="11"/>
      <c r="R17" s="11"/>
      <c r="S17" s="15"/>
      <c r="T17" s="15"/>
      <c r="V17" s="11"/>
      <c r="W17" s="11"/>
      <c r="X17" s="11"/>
      <c r="Y17" s="11"/>
      <c r="Z17" s="11"/>
      <c r="AA17" s="11"/>
    </row>
    <row r="18" spans="1:27" x14ac:dyDescent="0.2">
      <c r="A18" t="s">
        <v>468</v>
      </c>
      <c r="B18">
        <v>2</v>
      </c>
      <c r="C18" cm="1">
        <f t="array" aca="1" ref="C18" ca="1">SUMIFS([0]!Ideal_Points,[0]!Team_Total,'Team Summaries'!A18,[0]!Week_Total,'Team Summaries'!B18)</f>
        <v>127.22</v>
      </c>
      <c r="D18" cm="1">
        <f t="array" aca="1" ref="D18" ca="1">SUMIFS([0]!Actual_Points,[0]!Team_Total,'Team Summaries'!A18,[0]!Week_Total,'Team Summaries'!B18)</f>
        <v>110.82</v>
      </c>
      <c r="E18" cm="1">
        <f t="array" aca="1" ref="E18" ca="1">SUMIFS([0]!Missed_Points,[0]!Team_Total,'Team Summaries'!A18,[0]!Week_Total,'Team Summaries'!B18)</f>
        <v>16.399999999999999</v>
      </c>
      <c r="F18" cm="1">
        <f t="array" aca="1" ref="F18" ca="1">10-SUMIFS([0]!Non_Drafted_Player,[0]!Team_Total,'Team Summaries'!A18,[0]!Week_Total,'Team Summaries'!B18)</f>
        <v>1</v>
      </c>
      <c r="G18" cm="1">
        <f t="array" aca="1" ref="G18" ca="1">SUMIFS([0]!ND_Starter_Points,[0]!Team_Total,'Team Summaries'!A18,[0]!Week_Total,'Team Summaries'!B18)</f>
        <v>4.9000000000000004</v>
      </c>
      <c r="H18" s="7"/>
      <c r="M18" s="11"/>
      <c r="N18" s="11"/>
      <c r="P18" s="11"/>
      <c r="Q18" s="11"/>
      <c r="R18" s="11"/>
      <c r="S18" s="15"/>
      <c r="T18" s="15"/>
      <c r="V18" s="11"/>
      <c r="W18" s="11"/>
      <c r="X18" s="11"/>
      <c r="Y18" s="11"/>
      <c r="Z18" s="11"/>
      <c r="AA18" s="11"/>
    </row>
    <row r="19" spans="1:27" x14ac:dyDescent="0.2">
      <c r="A19" t="s">
        <v>469</v>
      </c>
      <c r="B19">
        <v>2</v>
      </c>
      <c r="C19" cm="1">
        <f t="array" aca="1" ref="C19" ca="1">SUMIFS([0]!Ideal_Points,[0]!Team_Total,'Team Summaries'!A19,[0]!Week_Total,'Team Summaries'!B19)</f>
        <v>135.18</v>
      </c>
      <c r="D19" cm="1">
        <f t="array" aca="1" ref="D19" ca="1">SUMIFS([0]!Actual_Points,[0]!Team_Total,'Team Summaries'!A19,[0]!Week_Total,'Team Summaries'!B19)</f>
        <v>135.18</v>
      </c>
      <c r="E19" cm="1">
        <f t="array" aca="1" ref="E19" ca="1">SUMIFS([0]!Missed_Points,[0]!Team_Total,'Team Summaries'!A19,[0]!Week_Total,'Team Summaries'!B19)</f>
        <v>-4.4408920985006262E-16</v>
      </c>
      <c r="F19" cm="1">
        <f t="array" aca="1" ref="F19" ca="1">10-SUMIFS([0]!Non_Drafted_Player,[0]!Team_Total,'Team Summaries'!A19,[0]!Week_Total,'Team Summaries'!B19)</f>
        <v>2</v>
      </c>
      <c r="G19" cm="1">
        <f t="array" aca="1" ref="G19" ca="1">SUMIFS([0]!ND_Starter_Points,[0]!Team_Total,'Team Summaries'!A19,[0]!Week_Total,'Team Summaries'!B19)</f>
        <v>27.200000000000003</v>
      </c>
      <c r="H19" s="7"/>
      <c r="K19" s="15"/>
      <c r="M19" s="11"/>
      <c r="N19" s="11"/>
      <c r="P19" s="11"/>
      <c r="Q19" s="11"/>
      <c r="R19" s="11"/>
      <c r="S19" s="15"/>
      <c r="T19" s="15"/>
      <c r="V19" s="11"/>
      <c r="W19" s="11"/>
      <c r="X19" s="11"/>
      <c r="Y19" s="11"/>
      <c r="Z19" s="11"/>
      <c r="AA19" s="11"/>
    </row>
    <row r="20" spans="1:27" x14ac:dyDescent="0.2">
      <c r="A20" t="s">
        <v>478</v>
      </c>
      <c r="B20">
        <v>2</v>
      </c>
      <c r="C20" cm="1">
        <f t="array" aca="1" ref="C20" ca="1">SUMIFS([0]!Ideal_Points,[0]!Team_Total,'Team Summaries'!A20,[0]!Week_Total,'Team Summaries'!B20)</f>
        <v>122.62</v>
      </c>
      <c r="D20" cm="1">
        <f t="array" aca="1" ref="D20" ca="1">SUMIFS([0]!Actual_Points,[0]!Team_Total,'Team Summaries'!A20,[0]!Week_Total,'Team Summaries'!B20)</f>
        <v>110.51999999999998</v>
      </c>
      <c r="E20" cm="1">
        <f t="array" aca="1" ref="E20" ca="1">SUMIFS([0]!Missed_Points,[0]!Team_Total,'Team Summaries'!A20,[0]!Week_Total,'Team Summaries'!B20)</f>
        <v>12.100000000000001</v>
      </c>
      <c r="F20" cm="1">
        <f t="array" aca="1" ref="F20" ca="1">10-SUMIFS([0]!Non_Drafted_Player,[0]!Team_Total,'Team Summaries'!A20,[0]!Week_Total,'Team Summaries'!B20)</f>
        <v>0</v>
      </c>
      <c r="G20" cm="1">
        <f t="array" aca="1" ref="G20" ca="1">SUMIFS([0]!ND_Starter_Points,[0]!Team_Total,'Team Summaries'!A20,[0]!Week_Total,'Team Summaries'!B20)</f>
        <v>0</v>
      </c>
      <c r="H20" s="7"/>
      <c r="K20" s="15"/>
      <c r="M20" s="11"/>
      <c r="N20" s="11"/>
      <c r="P20" s="11"/>
      <c r="Q20" s="11"/>
      <c r="R20" s="11"/>
      <c r="S20" s="15"/>
      <c r="T20" s="15"/>
      <c r="V20" s="11"/>
      <c r="W20" s="11"/>
      <c r="X20" s="11"/>
      <c r="Y20" s="11"/>
      <c r="Z20" s="11"/>
      <c r="AA20" s="11"/>
    </row>
    <row r="21" spans="1:27" x14ac:dyDescent="0.2">
      <c r="A21" t="s">
        <v>309</v>
      </c>
      <c r="B21">
        <v>2</v>
      </c>
      <c r="C21" cm="1">
        <f t="array" aca="1" ref="C21" ca="1">SUMIFS([0]!Ideal_Points,[0]!Team_Total,'Team Summaries'!A21,[0]!Week_Total,'Team Summaries'!B21)</f>
        <v>126.5</v>
      </c>
      <c r="D21" cm="1">
        <f t="array" aca="1" ref="D21" ca="1">SUMIFS([0]!Actual_Points,[0]!Team_Total,'Team Summaries'!A21,[0]!Week_Total,'Team Summaries'!B21)</f>
        <v>113.10000000000001</v>
      </c>
      <c r="E21" cm="1">
        <f t="array" aca="1" ref="E21" ca="1">SUMIFS([0]!Missed_Points,[0]!Team_Total,'Team Summaries'!A21,[0]!Week_Total,'Team Summaries'!B21)</f>
        <v>13.400000000000002</v>
      </c>
      <c r="F21" cm="1">
        <f t="array" aca="1" ref="F21" ca="1">10-SUMIFS([0]!Non_Drafted_Player,[0]!Team_Total,'Team Summaries'!A21,[0]!Week_Total,'Team Summaries'!B21)</f>
        <v>0</v>
      </c>
      <c r="G21" cm="1">
        <f t="array" aca="1" ref="G21" ca="1">SUMIFS([0]!ND_Starter_Points,[0]!Team_Total,'Team Summaries'!A21,[0]!Week_Total,'Team Summaries'!B21)</f>
        <v>0</v>
      </c>
      <c r="H21" s="7"/>
      <c r="K21" s="15"/>
      <c r="M21" s="11"/>
      <c r="N21" s="11"/>
      <c r="P21" s="11"/>
      <c r="Q21" s="11"/>
      <c r="R21" s="11"/>
      <c r="S21" s="15"/>
      <c r="T21" s="15"/>
      <c r="V21" s="11"/>
      <c r="W21" s="11"/>
      <c r="X21" s="11"/>
      <c r="Y21" s="11"/>
      <c r="Z21" s="11"/>
      <c r="AA21" s="11"/>
    </row>
    <row r="22" spans="1:27" x14ac:dyDescent="0.2">
      <c r="A22" t="s">
        <v>483</v>
      </c>
      <c r="B22">
        <v>2</v>
      </c>
      <c r="C22" cm="1">
        <f t="array" aca="1" ref="C22" ca="1">SUMIFS([0]!Ideal_Points,[0]!Team_Total,'Team Summaries'!A22,[0]!Week_Total,'Team Summaries'!B22)</f>
        <v>112.67999999999999</v>
      </c>
      <c r="D22" cm="1">
        <f t="array" aca="1" ref="D22" ca="1">SUMIFS([0]!Actual_Points,[0]!Team_Total,'Team Summaries'!A22,[0]!Week_Total,'Team Summaries'!B22)</f>
        <v>95.779999999999987</v>
      </c>
      <c r="E22" cm="1">
        <f t="array" aca="1" ref="E22" ca="1">SUMIFS([0]!Missed_Points,[0]!Team_Total,'Team Summaries'!A22,[0]!Week_Total,'Team Summaries'!B22)</f>
        <v>16.899999999999999</v>
      </c>
      <c r="F22" cm="1">
        <f t="array" aca="1" ref="F22" ca="1">10-SUMIFS([0]!Non_Drafted_Player,[0]!Team_Total,'Team Summaries'!A22,[0]!Week_Total,'Team Summaries'!B22)</f>
        <v>1</v>
      </c>
      <c r="G22" cm="1">
        <f t="array" aca="1" ref="G22" ca="1">SUMIFS([0]!ND_Starter_Points,[0]!Team_Total,'Team Summaries'!A22,[0]!Week_Total,'Team Summaries'!B22)</f>
        <v>10</v>
      </c>
      <c r="H22" s="7"/>
      <c r="K22" s="15"/>
      <c r="M22" s="11"/>
      <c r="N22" s="11"/>
      <c r="P22" s="11"/>
      <c r="Q22" s="11"/>
      <c r="R22" s="11"/>
      <c r="S22" s="15"/>
      <c r="T22" s="15"/>
      <c r="V22" s="11"/>
      <c r="W22" s="11"/>
      <c r="X22" s="11"/>
      <c r="Y22" s="11"/>
      <c r="Z22" s="11"/>
      <c r="AA22" s="11"/>
    </row>
    <row r="23" spans="1:27" x14ac:dyDescent="0.2">
      <c r="A23" t="s">
        <v>484</v>
      </c>
      <c r="B23">
        <v>2</v>
      </c>
      <c r="C23" cm="1">
        <f t="array" aca="1" ref="C23" ca="1">SUMIFS([0]!Ideal_Points,[0]!Team_Total,'Team Summaries'!A23,[0]!Week_Total,'Team Summaries'!B23)</f>
        <v>99.980000000000018</v>
      </c>
      <c r="D23" cm="1">
        <f t="array" aca="1" ref="D23" ca="1">SUMIFS([0]!Actual_Points,[0]!Team_Total,'Team Summaries'!A23,[0]!Week_Total,'Team Summaries'!B23)</f>
        <v>79.580000000000013</v>
      </c>
      <c r="E23" cm="1">
        <f t="array" aca="1" ref="E23" ca="1">SUMIFS([0]!Missed_Points,[0]!Team_Total,'Team Summaries'!A23,[0]!Week_Total,'Team Summaries'!B23)</f>
        <v>20.400000000000002</v>
      </c>
      <c r="F23" cm="1">
        <f t="array" aca="1" ref="F23" ca="1">10-SUMIFS([0]!Non_Drafted_Player,[0]!Team_Total,'Team Summaries'!A23,[0]!Week_Total,'Team Summaries'!B23)</f>
        <v>0</v>
      </c>
      <c r="G23" cm="1">
        <f t="array" aca="1" ref="G23" ca="1">SUMIFS([0]!ND_Starter_Points,[0]!Team_Total,'Team Summaries'!A23,[0]!Week_Total,'Team Summaries'!B23)</f>
        <v>0</v>
      </c>
      <c r="H23" s="7"/>
      <c r="K23" s="15"/>
      <c r="M23" s="11"/>
      <c r="N23" s="11"/>
      <c r="P23" s="11"/>
      <c r="Q23" s="11"/>
      <c r="R23" s="11"/>
      <c r="S23" s="15"/>
      <c r="T23" s="15"/>
      <c r="V23" s="11"/>
      <c r="W23" s="11"/>
      <c r="X23" s="11"/>
      <c r="Y23" s="11"/>
      <c r="Z23" s="11"/>
      <c r="AA23" s="11"/>
    </row>
    <row r="24" spans="1:27" x14ac:dyDescent="0.2">
      <c r="A24" t="s">
        <v>256</v>
      </c>
      <c r="B24">
        <v>2</v>
      </c>
      <c r="C24" cm="1">
        <f t="array" aca="1" ref="C24" ca="1">SUMIFS([0]!Ideal_Points,[0]!Team_Total,'Team Summaries'!A24,[0]!Week_Total,'Team Summaries'!B24)</f>
        <v>123.92</v>
      </c>
      <c r="D24" cm="1">
        <f t="array" aca="1" ref="D24" ca="1">SUMIFS([0]!Actual_Points,[0]!Team_Total,'Team Summaries'!A24,[0]!Week_Total,'Team Summaries'!B24)</f>
        <v>116.92</v>
      </c>
      <c r="E24" cm="1">
        <f t="array" aca="1" ref="E24" ca="1">SUMIFS([0]!Missed_Points,[0]!Team_Total,'Team Summaries'!A24,[0]!Week_Total,'Team Summaries'!B24)</f>
        <v>7</v>
      </c>
      <c r="F24" cm="1">
        <f t="array" aca="1" ref="F24" ca="1">10-SUMIFS([0]!Non_Drafted_Player,[0]!Team_Total,'Team Summaries'!A24,[0]!Week_Total,'Team Summaries'!B24)</f>
        <v>0</v>
      </c>
      <c r="G24" cm="1">
        <f t="array" aca="1" ref="G24" ca="1">SUMIFS([0]!ND_Starter_Points,[0]!Team_Total,'Team Summaries'!A24,[0]!Week_Total,'Team Summaries'!B24)</f>
        <v>0</v>
      </c>
      <c r="H24" s="7"/>
      <c r="K24" s="15"/>
      <c r="M24" s="11"/>
      <c r="N24" s="11"/>
      <c r="P24" s="11"/>
      <c r="Q24" s="11"/>
      <c r="R24" s="11"/>
      <c r="S24" s="15"/>
      <c r="T24" s="15"/>
      <c r="V24" s="11"/>
      <c r="W24" s="11"/>
      <c r="X24" s="11"/>
      <c r="Y24" s="11"/>
      <c r="Z24" s="11"/>
      <c r="AA24" s="11"/>
    </row>
    <row r="25" spans="1:27" x14ac:dyDescent="0.2">
      <c r="A25" t="s">
        <v>343</v>
      </c>
      <c r="B25">
        <v>2</v>
      </c>
      <c r="C25" cm="1">
        <f t="array" aca="1" ref="C25" ca="1">SUMIFS([0]!Ideal_Points,[0]!Team_Total,'Team Summaries'!A25,[0]!Week_Total,'Team Summaries'!B25)</f>
        <v>120.26</v>
      </c>
      <c r="D25" cm="1">
        <f t="array" aca="1" ref="D25" ca="1">SUMIFS([0]!Actual_Points,[0]!Team_Total,'Team Summaries'!A25,[0]!Week_Total,'Team Summaries'!B25)</f>
        <v>92.300000000000011</v>
      </c>
      <c r="E25" cm="1">
        <f t="array" aca="1" ref="E25" ca="1">SUMIFS([0]!Missed_Points,[0]!Team_Total,'Team Summaries'!A25,[0]!Week_Total,'Team Summaries'!B25)</f>
        <v>27.96</v>
      </c>
      <c r="F25" cm="1">
        <f t="array" aca="1" ref="F25" ca="1">10-SUMIFS([0]!Non_Drafted_Player,[0]!Team_Total,'Team Summaries'!A25,[0]!Week_Total,'Team Summaries'!B25)</f>
        <v>0</v>
      </c>
      <c r="G25" cm="1">
        <f t="array" aca="1" ref="G25" ca="1">SUMIFS([0]!ND_Starter_Points,[0]!Team_Total,'Team Summaries'!A25,[0]!Week_Total,'Team Summaries'!B25)</f>
        <v>0</v>
      </c>
      <c r="H25" s="7"/>
      <c r="K25" s="15"/>
      <c r="M25" s="11"/>
      <c r="N25" s="11"/>
      <c r="P25" s="11"/>
      <c r="Q25" s="11"/>
      <c r="R25" s="11"/>
      <c r="S25" s="15"/>
      <c r="T25" s="15"/>
      <c r="V25" s="11"/>
      <c r="W25" s="11"/>
      <c r="X25" s="11"/>
      <c r="Y25" s="11"/>
      <c r="Z25" s="11"/>
      <c r="AA25" s="11"/>
    </row>
    <row r="26" spans="1:27" x14ac:dyDescent="0.2">
      <c r="A26" t="s">
        <v>308</v>
      </c>
      <c r="B26">
        <v>2</v>
      </c>
      <c r="C26" cm="1">
        <f t="array" aca="1" ref="C26" ca="1">SUMIFS([0]!Ideal_Points,[0]!Team_Total,'Team Summaries'!A26,[0]!Week_Total,'Team Summaries'!B26)</f>
        <v>131.27999999999997</v>
      </c>
      <c r="D26" cm="1">
        <f t="array" aca="1" ref="D26" ca="1">SUMIFS([0]!Actual_Points,[0]!Team_Total,'Team Summaries'!A26,[0]!Week_Total,'Team Summaries'!B26)</f>
        <v>131.27999999999997</v>
      </c>
      <c r="E26" cm="1">
        <f t="array" aca="1" ref="E26" ca="1">SUMIFS([0]!Missed_Points,[0]!Team_Total,'Team Summaries'!A26,[0]!Week_Total,'Team Summaries'!B26)</f>
        <v>0</v>
      </c>
      <c r="F26" cm="1">
        <f t="array" aca="1" ref="F26" ca="1">10-SUMIFS([0]!Non_Drafted_Player,[0]!Team_Total,'Team Summaries'!A26,[0]!Week_Total,'Team Summaries'!B26)</f>
        <v>0</v>
      </c>
      <c r="G26" cm="1">
        <f t="array" aca="1" ref="G26" ca="1">SUMIFS([0]!ND_Starter_Points,[0]!Team_Total,'Team Summaries'!A26,[0]!Week_Total,'Team Summaries'!B26)</f>
        <v>0</v>
      </c>
      <c r="H26" s="7"/>
      <c r="K26" s="15"/>
      <c r="M26" s="11"/>
      <c r="N26" s="11"/>
      <c r="P26" s="11"/>
      <c r="Q26" s="11"/>
      <c r="R26" s="11"/>
      <c r="S26" s="15"/>
      <c r="T26" s="15"/>
      <c r="V26" s="11"/>
      <c r="W26" s="11"/>
      <c r="X26" s="11"/>
      <c r="Y26" s="11"/>
      <c r="Z26" s="11"/>
      <c r="AA26" s="11"/>
    </row>
    <row r="27" spans="1:27" x14ac:dyDescent="0.2">
      <c r="A27" t="s">
        <v>494</v>
      </c>
      <c r="B27">
        <v>2</v>
      </c>
      <c r="C27" cm="1">
        <f t="array" aca="1" ref="C27" ca="1">SUMIFS([0]!Ideal_Points,[0]!Team_Total,'Team Summaries'!A27,[0]!Week_Total,'Team Summaries'!B27)</f>
        <v>59.160000000000004</v>
      </c>
      <c r="D27" cm="1">
        <f t="array" aca="1" ref="D27" ca="1">SUMIFS([0]!Actual_Points,[0]!Team_Total,'Team Summaries'!A27,[0]!Week_Total,'Team Summaries'!B27)</f>
        <v>56.160000000000004</v>
      </c>
      <c r="E27" cm="1">
        <f t="array" aca="1" ref="E27" ca="1">SUMIFS([0]!Missed_Points,[0]!Team_Total,'Team Summaries'!A27,[0]!Week_Total,'Team Summaries'!B27)</f>
        <v>3</v>
      </c>
      <c r="F27" cm="1">
        <f t="array" aca="1" ref="F27" ca="1">10-SUMIFS([0]!Non_Drafted_Player,[0]!Team_Total,'Team Summaries'!A27,[0]!Week_Total,'Team Summaries'!B27)</f>
        <v>1</v>
      </c>
      <c r="G27" cm="1">
        <f t="array" aca="1" ref="G27" ca="1">SUMIFS([0]!ND_Starter_Points,[0]!Team_Total,'Team Summaries'!A27,[0]!Week_Total,'Team Summaries'!B27)</f>
        <v>7</v>
      </c>
      <c r="H27" s="7"/>
      <c r="K27" s="15"/>
      <c r="M27" s="11"/>
      <c r="N27" s="11"/>
      <c r="P27" s="11"/>
      <c r="Q27" s="11"/>
      <c r="R27" s="11"/>
      <c r="S27" s="15"/>
      <c r="T27" s="15"/>
      <c r="V27" s="11"/>
      <c r="W27" s="11"/>
      <c r="X27" s="11"/>
      <c r="Y27" s="11"/>
      <c r="Z27" s="11"/>
      <c r="AA27" s="11"/>
    </row>
    <row r="28" spans="1:27" x14ac:dyDescent="0.2">
      <c r="A28" t="s">
        <v>499</v>
      </c>
      <c r="B28">
        <v>2</v>
      </c>
      <c r="C28" cm="1">
        <f t="array" aca="1" ref="C28" ca="1">SUMIFS([0]!Ideal_Points,[0]!Team_Total,'Team Summaries'!A28,[0]!Week_Total,'Team Summaries'!B28)</f>
        <v>101.97999999999999</v>
      </c>
      <c r="D28" cm="1">
        <f t="array" aca="1" ref="D28" ca="1">SUMIFS([0]!Actual_Points,[0]!Team_Total,'Team Summaries'!A28,[0]!Week_Total,'Team Summaries'!B28)</f>
        <v>92.61999999999999</v>
      </c>
      <c r="E28" cm="1">
        <f t="array" aca="1" ref="E28" ca="1">SUMIFS([0]!Missed_Points,[0]!Team_Total,'Team Summaries'!A28,[0]!Week_Total,'Team Summaries'!B28)</f>
        <v>9.36</v>
      </c>
      <c r="F28" cm="1">
        <f t="array" aca="1" ref="F28" ca="1">10-SUMIFS([0]!Non_Drafted_Player,[0]!Team_Total,'Team Summaries'!A28,[0]!Week_Total,'Team Summaries'!B28)</f>
        <v>1</v>
      </c>
      <c r="G28" cm="1">
        <f t="array" aca="1" ref="G28" ca="1">SUMIFS([0]!ND_Starter_Points,[0]!Team_Total,'Team Summaries'!A28,[0]!Week_Total,'Team Summaries'!B28)</f>
        <v>2.8</v>
      </c>
      <c r="H28" s="7"/>
      <c r="K28" s="15"/>
      <c r="V28" s="11"/>
    </row>
    <row r="29" spans="1:27" x14ac:dyDescent="0.2">
      <c r="A29" t="s">
        <v>255</v>
      </c>
      <c r="B29">
        <v>2</v>
      </c>
      <c r="C29" cm="1">
        <f t="array" aca="1" ref="C29" ca="1">SUMIFS([0]!Ideal_Points,[0]!Team_Total,'Team Summaries'!A29,[0]!Week_Total,'Team Summaries'!B29)</f>
        <v>130.35999999999999</v>
      </c>
      <c r="D29" cm="1">
        <f t="array" aca="1" ref="D29" ca="1">SUMIFS([0]!Actual_Points,[0]!Team_Total,'Team Summaries'!A29,[0]!Week_Total,'Team Summaries'!B29)</f>
        <v>108.06</v>
      </c>
      <c r="E29" cm="1">
        <f t="array" aca="1" ref="E29" ca="1">SUMIFS([0]!Missed_Points,[0]!Team_Total,'Team Summaries'!A29,[0]!Week_Total,'Team Summaries'!B29)</f>
        <v>22.300000000000004</v>
      </c>
      <c r="F29" cm="1">
        <f t="array" aca="1" ref="F29" ca="1">10-SUMIFS([0]!Non_Drafted_Player,[0]!Team_Total,'Team Summaries'!A29,[0]!Week_Total,'Team Summaries'!B29)</f>
        <v>0</v>
      </c>
      <c r="G29" cm="1">
        <f t="array" aca="1" ref="G29" ca="1">SUMIFS([0]!ND_Starter_Points,[0]!Team_Total,'Team Summaries'!A29,[0]!Week_Total,'Team Summaries'!B29)</f>
        <v>0</v>
      </c>
      <c r="H29" s="7"/>
      <c r="K29" s="15"/>
      <c r="M29" s="14"/>
      <c r="N29" s="14"/>
      <c r="P29" s="14"/>
      <c r="Q29" s="14"/>
      <c r="R29" s="14"/>
      <c r="S29" s="15"/>
      <c r="V29" s="15"/>
      <c r="X29" s="15"/>
      <c r="AA29" s="15"/>
    </row>
    <row r="30" spans="1:27" x14ac:dyDescent="0.2">
      <c r="A30" t="s">
        <v>545</v>
      </c>
      <c r="B30">
        <v>3</v>
      </c>
      <c r="C30" cm="1">
        <f t="array" aca="1" ref="C30" ca="1">SUMIFS([0]!Ideal_Points,[0]!Team_Total,'Team Summaries'!A30,[0]!Week_Total,'Team Summaries'!B30)</f>
        <v>93.179999999999993</v>
      </c>
      <c r="D30" cm="1">
        <f t="array" aca="1" ref="D30" ca="1">SUMIFS([0]!Actual_Points,[0]!Team_Total,'Team Summaries'!A30,[0]!Week_Total,'Team Summaries'!B30)</f>
        <v>93.179999999999993</v>
      </c>
      <c r="E30" cm="1">
        <f t="array" aca="1" ref="E30" ca="1">SUMIFS([0]!Missed_Points,[0]!Team_Total,'Team Summaries'!A30,[0]!Week_Total,'Team Summaries'!B30)</f>
        <v>0</v>
      </c>
      <c r="F30" cm="1">
        <f t="array" aca="1" ref="F30" ca="1">10-SUMIFS([0]!Non_Drafted_Player,[0]!Team_Total,'Team Summaries'!A30,[0]!Week_Total,'Team Summaries'!B30)</f>
        <v>0</v>
      </c>
      <c r="G30" cm="1">
        <f t="array" aca="1" ref="G30" ca="1">SUMIFS([0]!ND_Starter_Points,[0]!Team_Total,'Team Summaries'!A30,[0]!Week_Total,'Team Summaries'!B30)</f>
        <v>0</v>
      </c>
      <c r="H30" s="7"/>
      <c r="K30" s="15"/>
      <c r="M30" s="14"/>
      <c r="N30" s="14"/>
      <c r="P30" s="14"/>
      <c r="Q30" s="14"/>
      <c r="R30" s="14"/>
    </row>
    <row r="31" spans="1:27" x14ac:dyDescent="0.2">
      <c r="A31" t="s">
        <v>463</v>
      </c>
      <c r="B31">
        <v>3</v>
      </c>
      <c r="C31" cm="1">
        <f t="array" aca="1" ref="C31" ca="1">SUMIFS([0]!Ideal_Points,[0]!Team_Total,'Team Summaries'!A31,[0]!Week_Total,'Team Summaries'!B31)</f>
        <v>110.48000000000002</v>
      </c>
      <c r="D31" cm="1">
        <f t="array" aca="1" ref="D31" ca="1">SUMIFS([0]!Actual_Points,[0]!Team_Total,'Team Summaries'!A31,[0]!Week_Total,'Team Summaries'!B31)</f>
        <v>90.480000000000018</v>
      </c>
      <c r="E31" cm="1">
        <f t="array" aca="1" ref="E31" ca="1">SUMIFS([0]!Missed_Points,[0]!Team_Total,'Team Summaries'!A31,[0]!Week_Total,'Team Summaries'!B31)</f>
        <v>20</v>
      </c>
      <c r="F31" cm="1">
        <f t="array" aca="1" ref="F31" ca="1">10-SUMIFS([0]!Non_Drafted_Player,[0]!Team_Total,'Team Summaries'!A31,[0]!Week_Total,'Team Summaries'!B31)</f>
        <v>2</v>
      </c>
      <c r="G31" cm="1">
        <f t="array" aca="1" ref="G31" ca="1">SUMIFS([0]!ND_Starter_Points,[0]!Team_Total,'Team Summaries'!A31,[0]!Week_Total,'Team Summaries'!B31)</f>
        <v>0</v>
      </c>
      <c r="H31" s="7"/>
      <c r="K31" s="15"/>
      <c r="M31" s="16"/>
      <c r="N31" s="16"/>
      <c r="P31" s="16"/>
      <c r="Q31" s="16"/>
      <c r="R31" s="16"/>
    </row>
    <row r="32" spans="1:27" x14ac:dyDescent="0.2">
      <c r="A32" t="s">
        <v>468</v>
      </c>
      <c r="B32">
        <v>3</v>
      </c>
      <c r="C32" cm="1">
        <f t="array" aca="1" ref="C32" ca="1">SUMIFS([0]!Ideal_Points,[0]!Team_Total,'Team Summaries'!A32,[0]!Week_Total,'Team Summaries'!B32)</f>
        <v>97.059999999999988</v>
      </c>
      <c r="D32" cm="1">
        <f t="array" aca="1" ref="D32" ca="1">SUMIFS([0]!Actual_Points,[0]!Team_Total,'Team Summaries'!A32,[0]!Week_Total,'Team Summaries'!B32)</f>
        <v>80.06</v>
      </c>
      <c r="E32" cm="1">
        <f t="array" aca="1" ref="E32" ca="1">SUMIFS([0]!Missed_Points,[0]!Team_Total,'Team Summaries'!A32,[0]!Week_Total,'Team Summaries'!B32)</f>
        <v>17</v>
      </c>
      <c r="F32" cm="1">
        <f t="array" aca="1" ref="F32" ca="1">10-SUMIFS([0]!Non_Drafted_Player,[0]!Team_Total,'Team Summaries'!A32,[0]!Week_Total,'Team Summaries'!B32)</f>
        <v>2</v>
      </c>
      <c r="G32" cm="1">
        <f t="array" aca="1" ref="G32" ca="1">SUMIFS([0]!ND_Starter_Points,[0]!Team_Total,'Team Summaries'!A32,[0]!Week_Total,'Team Summaries'!B32)</f>
        <v>11.4</v>
      </c>
      <c r="H32" s="7"/>
      <c r="K32" s="15"/>
      <c r="M32" s="16"/>
      <c r="N32" s="16"/>
      <c r="P32" s="16"/>
      <c r="Q32" s="16"/>
      <c r="R32" s="16"/>
    </row>
    <row r="33" spans="1:20" x14ac:dyDescent="0.2">
      <c r="A33" t="s">
        <v>469</v>
      </c>
      <c r="B33">
        <v>3</v>
      </c>
      <c r="C33" cm="1">
        <f t="array" aca="1" ref="C33" ca="1">SUMIFS([0]!Ideal_Points,[0]!Team_Total,'Team Summaries'!A33,[0]!Week_Total,'Team Summaries'!B33)</f>
        <v>132.30000000000001</v>
      </c>
      <c r="D33" cm="1">
        <f t="array" aca="1" ref="D33" ca="1">SUMIFS([0]!Actual_Points,[0]!Team_Total,'Team Summaries'!A33,[0]!Week_Total,'Team Summaries'!B33)</f>
        <v>130.4</v>
      </c>
      <c r="E33" cm="1">
        <f t="array" aca="1" ref="E33" ca="1">SUMIFS([0]!Missed_Points,[0]!Team_Total,'Team Summaries'!A33,[0]!Week_Total,'Team Summaries'!B33)</f>
        <v>1.8999999999999997</v>
      </c>
      <c r="F33" cm="1">
        <f t="array" aca="1" ref="F33" ca="1">10-SUMIFS([0]!Non_Drafted_Player,[0]!Team_Total,'Team Summaries'!A33,[0]!Week_Total,'Team Summaries'!B33)</f>
        <v>2</v>
      </c>
      <c r="G33" cm="1">
        <f t="array" aca="1" ref="G33" ca="1">SUMIFS([0]!ND_Starter_Points,[0]!Team_Total,'Team Summaries'!A33,[0]!Week_Total,'Team Summaries'!B33)</f>
        <v>16.399999999999999</v>
      </c>
      <c r="H33" s="7"/>
      <c r="M33" s="16"/>
      <c r="N33" s="16"/>
      <c r="P33" s="16"/>
      <c r="Q33" s="16"/>
      <c r="R33" s="16"/>
      <c r="T33" s="16"/>
    </row>
    <row r="34" spans="1:20" x14ac:dyDescent="0.2">
      <c r="A34" t="s">
        <v>478</v>
      </c>
      <c r="B34">
        <v>3</v>
      </c>
      <c r="C34" cm="1">
        <f t="array" aca="1" ref="C34" ca="1">SUMIFS([0]!Ideal_Points,[0]!Team_Total,'Team Summaries'!A34,[0]!Week_Total,'Team Summaries'!B34)</f>
        <v>137.64000000000001</v>
      </c>
      <c r="D34" cm="1">
        <f t="array" aca="1" ref="D34" ca="1">SUMIFS([0]!Actual_Points,[0]!Team_Total,'Team Summaries'!A34,[0]!Week_Total,'Team Summaries'!B34)</f>
        <v>112.44</v>
      </c>
      <c r="E34" cm="1">
        <f t="array" aca="1" ref="E34" ca="1">SUMIFS([0]!Missed_Points,[0]!Team_Total,'Team Summaries'!A34,[0]!Week_Total,'Team Summaries'!B34)</f>
        <v>25.200000000000003</v>
      </c>
      <c r="F34" cm="1">
        <f t="array" aca="1" ref="F34" ca="1">10-SUMIFS([0]!Non_Drafted_Player,[0]!Team_Total,'Team Summaries'!A34,[0]!Week_Total,'Team Summaries'!B34)</f>
        <v>1</v>
      </c>
      <c r="G34" cm="1">
        <f t="array" aca="1" ref="G34" ca="1">SUMIFS([0]!ND_Starter_Points,[0]!Team_Total,'Team Summaries'!A34,[0]!Week_Total,'Team Summaries'!B34)</f>
        <v>13.64</v>
      </c>
      <c r="H34" s="7"/>
      <c r="M34" s="16"/>
      <c r="N34" s="16"/>
      <c r="P34" s="16"/>
      <c r="Q34" s="16"/>
      <c r="R34" s="16"/>
      <c r="T34" s="16"/>
    </row>
    <row r="35" spans="1:20" x14ac:dyDescent="0.2">
      <c r="A35" t="s">
        <v>309</v>
      </c>
      <c r="B35">
        <v>3</v>
      </c>
      <c r="C35" cm="1">
        <f t="array" aca="1" ref="C35" ca="1">SUMIFS([0]!Ideal_Points,[0]!Team_Total,'Team Summaries'!A35,[0]!Week_Total,'Team Summaries'!B35)</f>
        <v>151.88</v>
      </c>
      <c r="D35" cm="1">
        <f t="array" aca="1" ref="D35" ca="1">SUMIFS([0]!Actual_Points,[0]!Team_Total,'Team Summaries'!A35,[0]!Week_Total,'Team Summaries'!B35)</f>
        <v>151.58000000000001</v>
      </c>
      <c r="E35" cm="1">
        <f t="array" aca="1" ref="E35" ca="1">SUMIFS([0]!Missed_Points,[0]!Team_Total,'Team Summaries'!A35,[0]!Week_Total,'Team Summaries'!B35)</f>
        <v>0.30000000000000099</v>
      </c>
      <c r="F35" cm="1">
        <f t="array" aca="1" ref="F35" ca="1">10-SUMIFS([0]!Non_Drafted_Player,[0]!Team_Total,'Team Summaries'!A35,[0]!Week_Total,'Team Summaries'!B35)</f>
        <v>1</v>
      </c>
      <c r="G35" cm="1">
        <f t="array" aca="1" ref="G35" ca="1">SUMIFS([0]!ND_Starter_Points,[0]!Team_Total,'Team Summaries'!A35,[0]!Week_Total,'Team Summaries'!B35)</f>
        <v>22.22</v>
      </c>
      <c r="H35" s="7"/>
      <c r="M35" s="16"/>
      <c r="N35" s="16"/>
      <c r="P35" s="16"/>
      <c r="Q35" s="16"/>
      <c r="R35" s="16"/>
      <c r="T35" s="16"/>
    </row>
    <row r="36" spans="1:20" x14ac:dyDescent="0.2">
      <c r="A36" t="s">
        <v>483</v>
      </c>
      <c r="B36">
        <v>3</v>
      </c>
      <c r="C36" cm="1">
        <f t="array" aca="1" ref="C36" ca="1">SUMIFS([0]!Ideal_Points,[0]!Team_Total,'Team Summaries'!A36,[0]!Week_Total,'Team Summaries'!B36)</f>
        <v>149.16</v>
      </c>
      <c r="D36" cm="1">
        <f t="array" aca="1" ref="D36" ca="1">SUMIFS([0]!Actual_Points,[0]!Team_Total,'Team Summaries'!A36,[0]!Week_Total,'Team Summaries'!B36)</f>
        <v>123.7</v>
      </c>
      <c r="E36" cm="1">
        <f t="array" aca="1" ref="E36" ca="1">SUMIFS([0]!Missed_Points,[0]!Team_Total,'Team Summaries'!A36,[0]!Week_Total,'Team Summaries'!B36)</f>
        <v>25.46</v>
      </c>
      <c r="F36" cm="1">
        <f t="array" aca="1" ref="F36" ca="1">10-SUMIFS([0]!Non_Drafted_Player,[0]!Team_Total,'Team Summaries'!A36,[0]!Week_Total,'Team Summaries'!B36)</f>
        <v>2</v>
      </c>
      <c r="G36" cm="1">
        <f t="array" aca="1" ref="G36" ca="1">SUMIFS([0]!ND_Starter_Points,[0]!Team_Total,'Team Summaries'!A36,[0]!Week_Total,'Team Summaries'!B36)</f>
        <v>23</v>
      </c>
      <c r="H36" s="7"/>
      <c r="M36" s="16"/>
      <c r="N36" s="16"/>
      <c r="P36" s="16"/>
      <c r="Q36" s="16"/>
      <c r="R36" s="16"/>
      <c r="T36" s="16"/>
    </row>
    <row r="37" spans="1:20" x14ac:dyDescent="0.2">
      <c r="A37" t="s">
        <v>484</v>
      </c>
      <c r="B37">
        <v>3</v>
      </c>
      <c r="C37" cm="1">
        <f t="array" aca="1" ref="C37" ca="1">SUMIFS([0]!Ideal_Points,[0]!Team_Total,'Team Summaries'!A37,[0]!Week_Total,'Team Summaries'!B37)</f>
        <v>131.98000000000002</v>
      </c>
      <c r="D37" cm="1">
        <f t="array" aca="1" ref="D37" ca="1">SUMIFS([0]!Actual_Points,[0]!Team_Total,'Team Summaries'!A37,[0]!Week_Total,'Team Summaries'!B37)</f>
        <v>129.28</v>
      </c>
      <c r="E37" cm="1">
        <f t="array" aca="1" ref="E37" ca="1">SUMIFS([0]!Missed_Points,[0]!Team_Total,'Team Summaries'!A37,[0]!Week_Total,'Team Summaries'!B37)</f>
        <v>2.6999999999999993</v>
      </c>
      <c r="F37" cm="1">
        <f t="array" aca="1" ref="F37" ca="1">10-SUMIFS([0]!Non_Drafted_Player,[0]!Team_Total,'Team Summaries'!A37,[0]!Week_Total,'Team Summaries'!B37)</f>
        <v>0</v>
      </c>
      <c r="G37" cm="1">
        <f t="array" aca="1" ref="G37" ca="1">SUMIFS([0]!ND_Starter_Points,[0]!Team_Total,'Team Summaries'!A37,[0]!Week_Total,'Team Summaries'!B37)</f>
        <v>0</v>
      </c>
      <c r="H37" s="7"/>
      <c r="M37" s="16"/>
      <c r="N37" s="16"/>
      <c r="P37" s="16"/>
      <c r="Q37" s="16"/>
      <c r="R37" s="16"/>
      <c r="T37" s="16"/>
    </row>
    <row r="38" spans="1:20" x14ac:dyDescent="0.2">
      <c r="A38" t="s">
        <v>256</v>
      </c>
      <c r="B38">
        <v>3</v>
      </c>
      <c r="C38" cm="1">
        <f t="array" aca="1" ref="C38" ca="1">SUMIFS([0]!Ideal_Points,[0]!Team_Total,'Team Summaries'!A38,[0]!Week_Total,'Team Summaries'!B38)</f>
        <v>81.06</v>
      </c>
      <c r="D38" cm="1">
        <f t="array" aca="1" ref="D38" ca="1">SUMIFS([0]!Actual_Points,[0]!Team_Total,'Team Summaries'!A38,[0]!Week_Total,'Team Summaries'!B38)</f>
        <v>81.06</v>
      </c>
      <c r="E38" cm="1">
        <f t="array" aca="1" ref="E38" ca="1">SUMIFS([0]!Missed_Points,[0]!Team_Total,'Team Summaries'!A38,[0]!Week_Total,'Team Summaries'!B38)</f>
        <v>0</v>
      </c>
      <c r="F38" cm="1">
        <f t="array" aca="1" ref="F38" ca="1">10-SUMIFS([0]!Non_Drafted_Player,[0]!Team_Total,'Team Summaries'!A38,[0]!Week_Total,'Team Summaries'!B38)</f>
        <v>2</v>
      </c>
      <c r="G38" cm="1">
        <f t="array" aca="1" ref="G38" ca="1">SUMIFS([0]!ND_Starter_Points,[0]!Team_Total,'Team Summaries'!A38,[0]!Week_Total,'Team Summaries'!B38)</f>
        <v>11.1</v>
      </c>
      <c r="H38" s="7"/>
      <c r="M38" s="16"/>
      <c r="N38" s="16"/>
      <c r="P38" s="16"/>
      <c r="Q38" s="16"/>
      <c r="R38" s="16"/>
      <c r="T38" s="16"/>
    </row>
    <row r="39" spans="1:20" x14ac:dyDescent="0.2">
      <c r="A39" t="s">
        <v>343</v>
      </c>
      <c r="B39">
        <v>3</v>
      </c>
      <c r="C39" cm="1">
        <f t="array" aca="1" ref="C39" ca="1">SUMIFS([0]!Ideal_Points,[0]!Team_Total,'Team Summaries'!A39,[0]!Week_Total,'Team Summaries'!B39)</f>
        <v>95.04000000000002</v>
      </c>
      <c r="D39" cm="1">
        <f t="array" aca="1" ref="D39" ca="1">SUMIFS([0]!Actual_Points,[0]!Team_Total,'Team Summaries'!A39,[0]!Week_Total,'Team Summaries'!B39)</f>
        <v>94.84</v>
      </c>
      <c r="E39" cm="1">
        <f t="array" aca="1" ref="E39" ca="1">SUMIFS([0]!Missed_Points,[0]!Team_Total,'Team Summaries'!A39,[0]!Week_Total,'Team Summaries'!B39)</f>
        <v>0.19999999999999929</v>
      </c>
      <c r="F39" cm="1">
        <f t="array" aca="1" ref="F39" ca="1">10-SUMIFS([0]!Non_Drafted_Player,[0]!Team_Total,'Team Summaries'!A39,[0]!Week_Total,'Team Summaries'!B39)</f>
        <v>0</v>
      </c>
      <c r="G39" cm="1">
        <f t="array" aca="1" ref="G39" ca="1">SUMIFS([0]!ND_Starter_Points,[0]!Team_Total,'Team Summaries'!A39,[0]!Week_Total,'Team Summaries'!B39)</f>
        <v>0</v>
      </c>
      <c r="H39" s="7"/>
      <c r="M39" s="16"/>
      <c r="N39" s="16"/>
      <c r="P39" s="16"/>
      <c r="Q39" s="16"/>
      <c r="R39" s="16"/>
      <c r="T39" s="16"/>
    </row>
    <row r="40" spans="1:20" x14ac:dyDescent="0.2">
      <c r="A40" t="s">
        <v>308</v>
      </c>
      <c r="B40">
        <v>3</v>
      </c>
      <c r="C40" cm="1">
        <f t="array" aca="1" ref="C40" ca="1">SUMIFS([0]!Ideal_Points,[0]!Team_Total,'Team Summaries'!A40,[0]!Week_Total,'Team Summaries'!B40)</f>
        <v>88.18</v>
      </c>
      <c r="D40" cm="1">
        <f t="array" aca="1" ref="D40" ca="1">SUMIFS([0]!Actual_Points,[0]!Team_Total,'Team Summaries'!A40,[0]!Week_Total,'Team Summaries'!B40)</f>
        <v>85.64</v>
      </c>
      <c r="E40" cm="1">
        <f t="array" aca="1" ref="E40" ca="1">SUMIFS([0]!Missed_Points,[0]!Team_Total,'Team Summaries'!A40,[0]!Week_Total,'Team Summaries'!B40)</f>
        <v>2.5399999999999991</v>
      </c>
      <c r="F40" cm="1">
        <f t="array" aca="1" ref="F40" ca="1">10-SUMIFS([0]!Non_Drafted_Player,[0]!Team_Total,'Team Summaries'!A40,[0]!Week_Total,'Team Summaries'!B40)</f>
        <v>1</v>
      </c>
      <c r="G40" cm="1">
        <f t="array" aca="1" ref="G40" ca="1">SUMIFS([0]!ND_Starter_Points,[0]!Team_Total,'Team Summaries'!A40,[0]!Week_Total,'Team Summaries'!B40)</f>
        <v>1</v>
      </c>
      <c r="H40" s="7"/>
      <c r="M40" s="16"/>
      <c r="N40" s="16"/>
      <c r="P40" s="16"/>
      <c r="Q40" s="16"/>
      <c r="R40" s="16"/>
      <c r="T40" s="16"/>
    </row>
    <row r="41" spans="1:20" x14ac:dyDescent="0.2">
      <c r="A41" t="s">
        <v>494</v>
      </c>
      <c r="B41">
        <v>3</v>
      </c>
      <c r="C41" cm="1">
        <f t="array" aca="1" ref="C41" ca="1">SUMIFS([0]!Ideal_Points,[0]!Team_Total,'Team Summaries'!A41,[0]!Week_Total,'Team Summaries'!B41)</f>
        <v>109.47999999999999</v>
      </c>
      <c r="D41" cm="1">
        <f t="array" aca="1" ref="D41" ca="1">SUMIFS([0]!Actual_Points,[0]!Team_Total,'Team Summaries'!A41,[0]!Week_Total,'Team Summaries'!B41)</f>
        <v>107.38</v>
      </c>
      <c r="E41" cm="1">
        <f t="array" aca="1" ref="E41" ca="1">SUMIFS([0]!Missed_Points,[0]!Team_Total,'Team Summaries'!A41,[0]!Week_Total,'Team Summaries'!B41)</f>
        <v>2.0999999999999988</v>
      </c>
      <c r="F41" cm="1">
        <f t="array" aca="1" ref="F41" ca="1">10-SUMIFS([0]!Non_Drafted_Player,[0]!Team_Total,'Team Summaries'!A41,[0]!Week_Total,'Team Summaries'!B41)</f>
        <v>1</v>
      </c>
      <c r="G41" cm="1">
        <f t="array" aca="1" ref="G41" ca="1">SUMIFS([0]!ND_Starter_Points,[0]!Team_Total,'Team Summaries'!A41,[0]!Week_Total,'Team Summaries'!B41)</f>
        <v>-6</v>
      </c>
      <c r="H41" s="7"/>
      <c r="M41" s="16"/>
      <c r="N41" s="16"/>
      <c r="P41" s="16"/>
      <c r="Q41" s="16"/>
      <c r="R41" s="16"/>
      <c r="T41" s="16"/>
    </row>
    <row r="42" spans="1:20" x14ac:dyDescent="0.2">
      <c r="A42" t="s">
        <v>499</v>
      </c>
      <c r="B42">
        <v>3</v>
      </c>
      <c r="C42" cm="1">
        <f t="array" aca="1" ref="C42" ca="1">SUMIFS([0]!Ideal_Points,[0]!Team_Total,'Team Summaries'!A42,[0]!Week_Total,'Team Summaries'!B42)</f>
        <v>141.34</v>
      </c>
      <c r="D42" cm="1">
        <f t="array" aca="1" ref="D42" ca="1">SUMIFS([0]!Actual_Points,[0]!Team_Total,'Team Summaries'!A42,[0]!Week_Total,'Team Summaries'!B42)</f>
        <v>117.24</v>
      </c>
      <c r="E42" cm="1">
        <f t="array" aca="1" ref="E42" ca="1">SUMIFS([0]!Missed_Points,[0]!Team_Total,'Team Summaries'!A42,[0]!Week_Total,'Team Summaries'!B42)</f>
        <v>24.099999999999998</v>
      </c>
      <c r="F42" cm="1">
        <f t="array" aca="1" ref="F42" ca="1">10-SUMIFS([0]!Non_Drafted_Player,[0]!Team_Total,'Team Summaries'!A42,[0]!Week_Total,'Team Summaries'!B42)</f>
        <v>2</v>
      </c>
      <c r="G42" cm="1">
        <f t="array" aca="1" ref="G42" ca="1">SUMIFS([0]!ND_Starter_Points,[0]!Team_Total,'Team Summaries'!A42,[0]!Week_Total,'Team Summaries'!B42)</f>
        <v>37.739999999999995</v>
      </c>
      <c r="H42" s="7"/>
      <c r="M42" s="16"/>
      <c r="N42" s="16"/>
      <c r="P42" s="16"/>
      <c r="Q42" s="16"/>
      <c r="R42" s="16"/>
      <c r="T42" s="16"/>
    </row>
    <row r="43" spans="1:20" x14ac:dyDescent="0.2">
      <c r="A43" t="s">
        <v>255</v>
      </c>
      <c r="B43">
        <v>3</v>
      </c>
      <c r="C43" cm="1">
        <f t="array" aca="1" ref="C43" ca="1">SUMIFS([0]!Ideal_Points,[0]!Team_Total,'Team Summaries'!A43,[0]!Week_Total,'Team Summaries'!B43)</f>
        <v>123.84</v>
      </c>
      <c r="D43" cm="1">
        <f t="array" aca="1" ref="D43" ca="1">SUMIFS([0]!Actual_Points,[0]!Team_Total,'Team Summaries'!A43,[0]!Week_Total,'Team Summaries'!B43)</f>
        <v>114.72</v>
      </c>
      <c r="E43" cm="1">
        <f t="array" aca="1" ref="E43" ca="1">SUMIFS([0]!Missed_Points,[0]!Team_Total,'Team Summaries'!A43,[0]!Week_Total,'Team Summaries'!B43)</f>
        <v>9.120000000000001</v>
      </c>
      <c r="F43" cm="1">
        <f t="array" aca="1" ref="F43" ca="1">10-SUMIFS([0]!Non_Drafted_Player,[0]!Team_Total,'Team Summaries'!A43,[0]!Week_Total,'Team Summaries'!B43)</f>
        <v>3</v>
      </c>
      <c r="G43" cm="1">
        <f t="array" aca="1" ref="G43" ca="1">SUMIFS([0]!ND_Starter_Points,[0]!Team_Total,'Team Summaries'!A43,[0]!Week_Total,'Team Summaries'!B43)</f>
        <v>18.3</v>
      </c>
      <c r="H43" s="7"/>
      <c r="M43" s="16"/>
      <c r="N43" s="16"/>
      <c r="P43" s="16"/>
      <c r="Q43" s="16"/>
      <c r="R43" s="16"/>
      <c r="T43" s="16"/>
    </row>
    <row r="44" spans="1:20" x14ac:dyDescent="0.2">
      <c r="H44" s="7"/>
      <c r="M44" s="16"/>
      <c r="N44" s="16"/>
      <c r="P44" s="16"/>
      <c r="Q44" s="16"/>
      <c r="R44" s="16"/>
      <c r="T44" s="16"/>
    </row>
    <row r="45" spans="1:20" x14ac:dyDescent="0.2">
      <c r="H45" s="7"/>
      <c r="M45" s="16"/>
      <c r="N45" s="16"/>
    </row>
    <row r="46" spans="1:20" x14ac:dyDescent="0.2">
      <c r="H46" s="7"/>
      <c r="M46" s="16"/>
      <c r="N46" s="16"/>
    </row>
    <row r="47" spans="1:20" x14ac:dyDescent="0.2">
      <c r="H47" s="7"/>
    </row>
    <row r="48" spans="1:20" x14ac:dyDescent="0.2">
      <c r="H48" s="7"/>
    </row>
    <row r="49" spans="8:8" x14ac:dyDescent="0.2">
      <c r="H49" s="7"/>
    </row>
    <row r="50" spans="8:8" x14ac:dyDescent="0.2">
      <c r="H50" s="7"/>
    </row>
    <row r="51" spans="8:8" x14ac:dyDescent="0.2">
      <c r="H51" s="7"/>
    </row>
    <row r="52" spans="8:8" x14ac:dyDescent="0.2">
      <c r="H52" s="7"/>
    </row>
    <row r="53" spans="8:8" x14ac:dyDescent="0.2">
      <c r="H53" s="7"/>
    </row>
    <row r="54" spans="8:8" x14ac:dyDescent="0.2">
      <c r="H54" s="7"/>
    </row>
    <row r="55" spans="8:8" x14ac:dyDescent="0.2">
      <c r="H55" s="7"/>
    </row>
    <row r="56" spans="8:8" x14ac:dyDescent="0.2">
      <c r="H56" s="7"/>
    </row>
    <row r="57" spans="8:8" x14ac:dyDescent="0.2">
      <c r="H57" s="7"/>
    </row>
    <row r="58" spans="8:8" x14ac:dyDescent="0.2">
      <c r="H58" s="7"/>
    </row>
    <row r="59" spans="8:8" x14ac:dyDescent="0.2">
      <c r="H59" s="7"/>
    </row>
    <row r="60" spans="8:8" x14ac:dyDescent="0.2">
      <c r="H60" s="7"/>
    </row>
    <row r="61" spans="8:8" x14ac:dyDescent="0.2">
      <c r="H61" s="7"/>
    </row>
    <row r="62" spans="8:8" x14ac:dyDescent="0.2">
      <c r="H62" s="7"/>
    </row>
    <row r="63" spans="8:8" x14ac:dyDescent="0.2">
      <c r="H63" s="7"/>
    </row>
    <row r="64" spans="8:8" x14ac:dyDescent="0.2">
      <c r="H64" s="7"/>
    </row>
    <row r="65" spans="8:8" x14ac:dyDescent="0.2">
      <c r="H65" s="7"/>
    </row>
    <row r="66" spans="8:8" x14ac:dyDescent="0.2">
      <c r="H66" s="7"/>
    </row>
    <row r="67" spans="8:8" x14ac:dyDescent="0.2">
      <c r="H67" s="7"/>
    </row>
    <row r="68" spans="8:8" x14ac:dyDescent="0.2">
      <c r="H68" s="7"/>
    </row>
    <row r="69" spans="8:8" x14ac:dyDescent="0.2">
      <c r="H69" s="7"/>
    </row>
    <row r="70" spans="8:8" x14ac:dyDescent="0.2">
      <c r="H70" s="7"/>
    </row>
    <row r="71" spans="8:8" x14ac:dyDescent="0.2">
      <c r="H71" s="7"/>
    </row>
    <row r="72" spans="8:8" x14ac:dyDescent="0.2">
      <c r="H72" s="7"/>
    </row>
    <row r="73" spans="8:8" x14ac:dyDescent="0.2">
      <c r="H73" s="7"/>
    </row>
    <row r="74" spans="8:8" x14ac:dyDescent="0.2">
      <c r="H74" s="7"/>
    </row>
    <row r="75" spans="8:8" x14ac:dyDescent="0.2">
      <c r="H75" s="7"/>
    </row>
    <row r="76" spans="8:8" x14ac:dyDescent="0.2">
      <c r="H76" s="7"/>
    </row>
    <row r="77" spans="8:8" x14ac:dyDescent="0.2">
      <c r="H77" s="7"/>
    </row>
    <row r="78" spans="8:8" x14ac:dyDescent="0.2">
      <c r="H78" s="7"/>
    </row>
    <row r="79" spans="8:8" x14ac:dyDescent="0.2">
      <c r="H79" s="7"/>
    </row>
    <row r="80" spans="8:8" x14ac:dyDescent="0.2">
      <c r="H80" s="7"/>
    </row>
    <row r="81" spans="8:8" x14ac:dyDescent="0.2">
      <c r="H81" s="7"/>
    </row>
    <row r="82" spans="8:8" x14ac:dyDescent="0.2">
      <c r="H82" s="7"/>
    </row>
    <row r="83" spans="8:8" x14ac:dyDescent="0.2">
      <c r="H83" s="7"/>
    </row>
    <row r="84" spans="8:8" x14ac:dyDescent="0.2">
      <c r="H84" s="7"/>
    </row>
    <row r="85" spans="8:8" x14ac:dyDescent="0.2">
      <c r="H85" s="7"/>
    </row>
    <row r="86" spans="8:8" x14ac:dyDescent="0.2">
      <c r="H86" s="7"/>
    </row>
    <row r="87" spans="8:8" x14ac:dyDescent="0.2">
      <c r="H87" s="7"/>
    </row>
    <row r="88" spans="8:8" x14ac:dyDescent="0.2">
      <c r="H88" s="7"/>
    </row>
    <row r="89" spans="8:8" x14ac:dyDescent="0.2">
      <c r="H89" s="7"/>
    </row>
    <row r="90" spans="8:8" x14ac:dyDescent="0.2">
      <c r="H90" s="7"/>
    </row>
    <row r="91" spans="8:8" x14ac:dyDescent="0.2">
      <c r="H91" s="7"/>
    </row>
    <row r="92" spans="8:8" x14ac:dyDescent="0.2">
      <c r="H92" s="7"/>
    </row>
    <row r="93" spans="8:8" x14ac:dyDescent="0.2">
      <c r="H93" s="7"/>
    </row>
    <row r="94" spans="8:8" x14ac:dyDescent="0.2">
      <c r="H94" s="7"/>
    </row>
    <row r="95" spans="8:8" x14ac:dyDescent="0.2">
      <c r="H95" s="7"/>
    </row>
    <row r="96" spans="8:8" x14ac:dyDescent="0.2">
      <c r="H96" s="7"/>
    </row>
    <row r="97" spans="8:8" x14ac:dyDescent="0.2">
      <c r="H97" s="7"/>
    </row>
    <row r="98" spans="8:8" x14ac:dyDescent="0.2">
      <c r="H98" s="7"/>
    </row>
    <row r="99" spans="8:8" x14ac:dyDescent="0.2">
      <c r="H99" s="7"/>
    </row>
    <row r="100" spans="8:8" x14ac:dyDescent="0.2">
      <c r="H100" s="7"/>
    </row>
    <row r="101" spans="8:8" x14ac:dyDescent="0.2">
      <c r="H101" s="7"/>
    </row>
    <row r="102" spans="8:8" x14ac:dyDescent="0.2">
      <c r="H102" s="7"/>
    </row>
    <row r="103" spans="8:8" x14ac:dyDescent="0.2">
      <c r="H103" s="7"/>
    </row>
    <row r="104" spans="8:8" x14ac:dyDescent="0.2">
      <c r="H104" s="7"/>
    </row>
    <row r="105" spans="8:8" x14ac:dyDescent="0.2">
      <c r="H105" s="7"/>
    </row>
    <row r="106" spans="8:8" x14ac:dyDescent="0.2">
      <c r="H106" s="7"/>
    </row>
    <row r="107" spans="8:8" x14ac:dyDescent="0.2">
      <c r="H107" s="7"/>
    </row>
    <row r="108" spans="8:8" x14ac:dyDescent="0.2">
      <c r="H108" s="7"/>
    </row>
    <row r="109" spans="8:8" x14ac:dyDescent="0.2">
      <c r="H109" s="7"/>
    </row>
    <row r="110" spans="8:8" x14ac:dyDescent="0.2">
      <c r="H110" s="7"/>
    </row>
    <row r="111" spans="8:8" x14ac:dyDescent="0.2">
      <c r="H111" s="7"/>
    </row>
    <row r="112" spans="8:8" x14ac:dyDescent="0.2">
      <c r="H112" s="7"/>
    </row>
    <row r="113" spans="8:8" x14ac:dyDescent="0.2">
      <c r="H113" s="7"/>
    </row>
    <row r="114" spans="8:8" x14ac:dyDescent="0.2">
      <c r="H114" s="7"/>
    </row>
    <row r="115" spans="8:8" x14ac:dyDescent="0.2">
      <c r="H115" s="7"/>
    </row>
    <row r="116" spans="8:8" x14ac:dyDescent="0.2">
      <c r="H116" s="7"/>
    </row>
    <row r="117" spans="8:8" x14ac:dyDescent="0.2">
      <c r="H117" s="7"/>
    </row>
    <row r="118" spans="8:8" x14ac:dyDescent="0.2">
      <c r="H118" s="7"/>
    </row>
    <row r="119" spans="8:8" x14ac:dyDescent="0.2">
      <c r="H119" s="7"/>
    </row>
    <row r="120" spans="8:8" x14ac:dyDescent="0.2">
      <c r="H120" s="7"/>
    </row>
    <row r="121" spans="8:8" x14ac:dyDescent="0.2">
      <c r="H121" s="7"/>
    </row>
    <row r="122" spans="8:8" x14ac:dyDescent="0.2">
      <c r="H122" s="7"/>
    </row>
    <row r="123" spans="8:8" x14ac:dyDescent="0.2">
      <c r="H123" s="7"/>
    </row>
    <row r="124" spans="8:8" x14ac:dyDescent="0.2">
      <c r="H124" s="7"/>
    </row>
    <row r="125" spans="8:8" x14ac:dyDescent="0.2">
      <c r="H125" s="7"/>
    </row>
    <row r="126" spans="8:8" x14ac:dyDescent="0.2">
      <c r="H126" s="7"/>
    </row>
    <row r="127" spans="8:8" x14ac:dyDescent="0.2">
      <c r="H127" s="7"/>
    </row>
    <row r="128" spans="8:8" x14ac:dyDescent="0.2">
      <c r="H128" s="7"/>
    </row>
    <row r="129" spans="8:8" x14ac:dyDescent="0.2">
      <c r="H129" s="7"/>
    </row>
    <row r="130" spans="8:8" x14ac:dyDescent="0.2">
      <c r="H130" s="7"/>
    </row>
    <row r="131" spans="8:8" x14ac:dyDescent="0.2">
      <c r="H131" s="7"/>
    </row>
    <row r="132" spans="8:8" x14ac:dyDescent="0.2">
      <c r="H132" s="7"/>
    </row>
    <row r="133" spans="8:8" x14ac:dyDescent="0.2">
      <c r="H133" s="7"/>
    </row>
    <row r="134" spans="8:8" x14ac:dyDescent="0.2">
      <c r="H134" s="7"/>
    </row>
    <row r="135" spans="8:8" x14ac:dyDescent="0.2">
      <c r="H135" s="7"/>
    </row>
    <row r="136" spans="8:8" x14ac:dyDescent="0.2">
      <c r="H136" s="7"/>
    </row>
    <row r="137" spans="8:8" x14ac:dyDescent="0.2">
      <c r="H137" s="7"/>
    </row>
    <row r="138" spans="8:8" x14ac:dyDescent="0.2">
      <c r="H138" s="7"/>
    </row>
    <row r="139" spans="8:8" x14ac:dyDescent="0.2">
      <c r="H139" s="7"/>
    </row>
    <row r="140" spans="8:8" x14ac:dyDescent="0.2">
      <c r="H140" s="7"/>
    </row>
    <row r="141" spans="8:8" x14ac:dyDescent="0.2">
      <c r="H141" s="7"/>
    </row>
    <row r="142" spans="8:8" x14ac:dyDescent="0.2">
      <c r="H142" s="7"/>
    </row>
    <row r="143" spans="8:8" x14ac:dyDescent="0.2">
      <c r="H143" s="7"/>
    </row>
    <row r="144" spans="8:8" x14ac:dyDescent="0.2">
      <c r="H144" s="7"/>
    </row>
    <row r="145" spans="8:8" x14ac:dyDescent="0.2">
      <c r="H145" s="7"/>
    </row>
    <row r="146" spans="8:8" x14ac:dyDescent="0.2">
      <c r="H146" s="7"/>
    </row>
    <row r="147" spans="8:8" x14ac:dyDescent="0.2">
      <c r="H147" s="7"/>
    </row>
    <row r="148" spans="8:8" x14ac:dyDescent="0.2">
      <c r="H148" s="7"/>
    </row>
    <row r="149" spans="8:8" x14ac:dyDescent="0.2">
      <c r="H149" s="7"/>
    </row>
    <row r="150" spans="8:8" x14ac:dyDescent="0.2">
      <c r="H150" s="7"/>
    </row>
    <row r="151" spans="8:8" x14ac:dyDescent="0.2">
      <c r="H151" s="7"/>
    </row>
    <row r="152" spans="8:8" x14ac:dyDescent="0.2">
      <c r="H152" s="7"/>
    </row>
    <row r="153" spans="8:8" x14ac:dyDescent="0.2">
      <c r="H153" s="7"/>
    </row>
    <row r="154" spans="8:8" x14ac:dyDescent="0.2">
      <c r="H154" s="7"/>
    </row>
    <row r="155" spans="8:8" x14ac:dyDescent="0.2">
      <c r="H155" s="7"/>
    </row>
    <row r="156" spans="8:8" x14ac:dyDescent="0.2">
      <c r="H156" s="7"/>
    </row>
    <row r="157" spans="8:8" x14ac:dyDescent="0.2">
      <c r="H157" s="7"/>
    </row>
    <row r="158" spans="8:8" x14ac:dyDescent="0.2">
      <c r="H158" s="7"/>
    </row>
    <row r="159" spans="8:8" x14ac:dyDescent="0.2">
      <c r="H159" s="7"/>
    </row>
    <row r="160" spans="8:8" x14ac:dyDescent="0.2">
      <c r="H160" s="7"/>
    </row>
    <row r="161" spans="8:8" x14ac:dyDescent="0.2">
      <c r="H161" s="7"/>
    </row>
    <row r="162" spans="8:8" x14ac:dyDescent="0.2">
      <c r="H162" s="7"/>
    </row>
    <row r="163" spans="8:8" x14ac:dyDescent="0.2">
      <c r="H163" s="7"/>
    </row>
    <row r="164" spans="8:8" x14ac:dyDescent="0.2">
      <c r="H164" s="7"/>
    </row>
    <row r="165" spans="8:8" x14ac:dyDescent="0.2">
      <c r="H165" s="7"/>
    </row>
    <row r="166" spans="8:8" x14ac:dyDescent="0.2">
      <c r="H166" s="7"/>
    </row>
    <row r="167" spans="8:8" x14ac:dyDescent="0.2">
      <c r="H167" s="7"/>
    </row>
    <row r="168" spans="8:8" x14ac:dyDescent="0.2">
      <c r="H168" s="7"/>
    </row>
    <row r="169" spans="8:8" x14ac:dyDescent="0.2">
      <c r="H169" s="7"/>
    </row>
    <row r="170" spans="8:8" x14ac:dyDescent="0.2">
      <c r="H170" s="7"/>
    </row>
    <row r="171" spans="8:8" x14ac:dyDescent="0.2">
      <c r="H171" s="7"/>
    </row>
    <row r="172" spans="8:8" x14ac:dyDescent="0.2">
      <c r="H172" s="7"/>
    </row>
    <row r="173" spans="8:8" x14ac:dyDescent="0.2">
      <c r="H173" s="7"/>
    </row>
    <row r="174" spans="8:8" x14ac:dyDescent="0.2">
      <c r="H174" s="7"/>
    </row>
    <row r="175" spans="8:8" x14ac:dyDescent="0.2">
      <c r="H175" s="7"/>
    </row>
    <row r="176" spans="8:8" x14ac:dyDescent="0.2">
      <c r="H176" s="7"/>
    </row>
    <row r="177" spans="8:8" x14ac:dyDescent="0.2">
      <c r="H177" s="7"/>
    </row>
    <row r="178" spans="8:8" x14ac:dyDescent="0.2">
      <c r="H178" s="7"/>
    </row>
    <row r="179" spans="8:8" x14ac:dyDescent="0.2">
      <c r="H179" s="7"/>
    </row>
    <row r="180" spans="8:8" x14ac:dyDescent="0.2">
      <c r="H180" s="7"/>
    </row>
    <row r="181" spans="8:8" x14ac:dyDescent="0.2">
      <c r="H181" s="7"/>
    </row>
    <row r="182" spans="8:8" x14ac:dyDescent="0.2">
      <c r="H182" s="7"/>
    </row>
    <row r="183" spans="8:8" x14ac:dyDescent="0.2">
      <c r="H183" s="7"/>
    </row>
    <row r="184" spans="8:8" x14ac:dyDescent="0.2">
      <c r="H184" s="7"/>
    </row>
    <row r="185" spans="8:8" x14ac:dyDescent="0.2">
      <c r="H185" s="7"/>
    </row>
    <row r="186" spans="8:8" x14ac:dyDescent="0.2">
      <c r="H186" s="7"/>
    </row>
    <row r="187" spans="8:8" x14ac:dyDescent="0.2">
      <c r="H187" s="7"/>
    </row>
    <row r="188" spans="8:8" x14ac:dyDescent="0.2">
      <c r="H188" s="7"/>
    </row>
    <row r="189" spans="8:8" x14ac:dyDescent="0.2">
      <c r="H189" s="7"/>
    </row>
    <row r="190" spans="8:8" x14ac:dyDescent="0.2">
      <c r="H190" s="7"/>
    </row>
    <row r="191" spans="8:8" x14ac:dyDescent="0.2">
      <c r="H191" s="7"/>
    </row>
    <row r="192" spans="8:8" x14ac:dyDescent="0.2">
      <c r="H192" s="7"/>
    </row>
    <row r="193" spans="8:8" x14ac:dyDescent="0.2">
      <c r="H193" s="7"/>
    </row>
    <row r="194" spans="8:8" x14ac:dyDescent="0.2">
      <c r="H194" s="7"/>
    </row>
    <row r="195" spans="8:8" x14ac:dyDescent="0.2">
      <c r="H195" s="7"/>
    </row>
    <row r="196" spans="8:8" x14ac:dyDescent="0.2">
      <c r="H196" s="7"/>
    </row>
    <row r="197" spans="8:8" x14ac:dyDescent="0.2">
      <c r="H197" s="7"/>
    </row>
    <row r="198" spans="8:8" x14ac:dyDescent="0.2">
      <c r="H198" s="7"/>
    </row>
    <row r="199" spans="8:8" x14ac:dyDescent="0.2">
      <c r="H199" s="7"/>
    </row>
    <row r="200" spans="8:8" x14ac:dyDescent="0.2">
      <c r="H200" s="7"/>
    </row>
    <row r="201" spans="8:8" x14ac:dyDescent="0.2">
      <c r="H201" s="7"/>
    </row>
    <row r="202" spans="8:8" x14ac:dyDescent="0.2">
      <c r="H202" s="7"/>
    </row>
    <row r="203" spans="8:8" x14ac:dyDescent="0.2">
      <c r="H203" s="7"/>
    </row>
    <row r="204" spans="8:8" x14ac:dyDescent="0.2">
      <c r="H204" s="7"/>
    </row>
    <row r="205" spans="8:8" x14ac:dyDescent="0.2">
      <c r="H205" s="7"/>
    </row>
    <row r="206" spans="8:8" x14ac:dyDescent="0.2">
      <c r="H206" s="7"/>
    </row>
    <row r="207" spans="8:8" x14ac:dyDescent="0.2">
      <c r="H207" s="7"/>
    </row>
    <row r="208" spans="8:8" x14ac:dyDescent="0.2">
      <c r="H208" s="7"/>
    </row>
    <row r="209" spans="8:8" x14ac:dyDescent="0.2">
      <c r="H209" s="7"/>
    </row>
    <row r="210" spans="8:8" x14ac:dyDescent="0.2">
      <c r="H210" s="7"/>
    </row>
    <row r="211" spans="8:8" x14ac:dyDescent="0.2">
      <c r="H211" s="7"/>
    </row>
    <row r="212" spans="8:8" x14ac:dyDescent="0.2">
      <c r="H212" s="7"/>
    </row>
    <row r="213" spans="8:8" x14ac:dyDescent="0.2">
      <c r="H213" s="7"/>
    </row>
    <row r="214" spans="8:8" x14ac:dyDescent="0.2">
      <c r="H214" s="7"/>
    </row>
    <row r="215" spans="8:8" x14ac:dyDescent="0.2">
      <c r="H215" s="7"/>
    </row>
    <row r="216" spans="8:8" x14ac:dyDescent="0.2">
      <c r="H216" s="7"/>
    </row>
    <row r="217" spans="8:8" x14ac:dyDescent="0.2">
      <c r="H217" s="7"/>
    </row>
    <row r="218" spans="8:8" x14ac:dyDescent="0.2">
      <c r="H218" s="7"/>
    </row>
    <row r="219" spans="8:8" x14ac:dyDescent="0.2">
      <c r="H219" s="7"/>
    </row>
    <row r="220" spans="8:8" x14ac:dyDescent="0.2">
      <c r="H220" s="7"/>
    </row>
    <row r="221" spans="8:8" x14ac:dyDescent="0.2">
      <c r="H221" s="7"/>
    </row>
    <row r="222" spans="8:8" x14ac:dyDescent="0.2">
      <c r="H222" s="7"/>
    </row>
    <row r="223" spans="8:8" x14ac:dyDescent="0.2">
      <c r="H223" s="7"/>
    </row>
    <row r="224" spans="8:8" x14ac:dyDescent="0.2">
      <c r="H224" s="7"/>
    </row>
    <row r="225" spans="8:8" x14ac:dyDescent="0.2">
      <c r="H225" s="7"/>
    </row>
    <row r="226" spans="8:8" x14ac:dyDescent="0.2">
      <c r="H226" s="7"/>
    </row>
    <row r="227" spans="8:8" x14ac:dyDescent="0.2">
      <c r="H227" s="7"/>
    </row>
    <row r="228" spans="8:8" x14ac:dyDescent="0.2">
      <c r="H228" s="7"/>
    </row>
    <row r="229" spans="8:8" x14ac:dyDescent="0.2">
      <c r="H229" s="7"/>
    </row>
    <row r="230" spans="8:8" x14ac:dyDescent="0.2">
      <c r="H230" s="7"/>
    </row>
    <row r="231" spans="8:8" x14ac:dyDescent="0.2">
      <c r="H231" s="7"/>
    </row>
    <row r="232" spans="8:8" x14ac:dyDescent="0.2">
      <c r="H232" s="7"/>
    </row>
    <row r="233" spans="8:8" x14ac:dyDescent="0.2">
      <c r="H233" s="7"/>
    </row>
    <row r="234" spans="8:8" x14ac:dyDescent="0.2">
      <c r="H234" s="7"/>
    </row>
    <row r="235" spans="8:8" x14ac:dyDescent="0.2">
      <c r="H235" s="7"/>
    </row>
    <row r="236" spans="8:8" x14ac:dyDescent="0.2">
      <c r="H236" s="7"/>
    </row>
    <row r="237" spans="8:8" x14ac:dyDescent="0.2">
      <c r="H237" s="7"/>
    </row>
    <row r="238" spans="8:8" x14ac:dyDescent="0.2">
      <c r="H238" s="7"/>
    </row>
    <row r="239" spans="8:8" x14ac:dyDescent="0.2">
      <c r="H239" s="7"/>
    </row>
  </sheetData>
  <pageMargins left="0.7" right="0.7" top="0.75" bottom="0.75" header="0.3" footer="0.3"/>
  <pageSetup orientation="portrait" horizontalDpi="0" verticalDpi="0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66952-830B-7F42-B2FB-13850507B25B}">
  <dimension ref="A1:T15"/>
  <sheetViews>
    <sheetView workbookViewId="0">
      <selection activeCell="T9" sqref="T9"/>
    </sheetView>
  </sheetViews>
  <sheetFormatPr baseColWidth="10" defaultRowHeight="16" x14ac:dyDescent="0.2"/>
  <cols>
    <col min="1" max="1" width="28.83203125" bestFit="1" customWidth="1"/>
    <col min="2" max="2" width="13.33203125" bestFit="1" customWidth="1"/>
    <col min="3" max="3" width="11.83203125" bestFit="1" customWidth="1"/>
    <col min="4" max="4" width="12.5" bestFit="1" customWidth="1"/>
    <col min="5" max="5" width="17.1640625" bestFit="1" customWidth="1"/>
    <col min="6" max="6" width="16" bestFit="1" customWidth="1"/>
    <col min="7" max="7" width="15" bestFit="1" customWidth="1"/>
    <col min="8" max="8" width="9.33203125" bestFit="1" customWidth="1"/>
    <col min="9" max="9" width="17" bestFit="1" customWidth="1"/>
    <col min="10" max="10" width="6.33203125" bestFit="1" customWidth="1"/>
    <col min="11" max="11" width="5.1640625" bestFit="1" customWidth="1"/>
    <col min="12" max="12" width="7" bestFit="1" customWidth="1"/>
    <col min="13" max="13" width="6.1640625" bestFit="1" customWidth="1"/>
    <col min="14" max="14" width="3.6640625" bestFit="1" customWidth="1"/>
    <col min="15" max="15" width="12.1640625" bestFit="1" customWidth="1"/>
    <col min="16" max="16" width="5" bestFit="1" customWidth="1"/>
    <col min="17" max="17" width="5.1640625" bestFit="1" customWidth="1"/>
    <col min="18" max="18" width="8.6640625" bestFit="1" customWidth="1"/>
    <col min="19" max="19" width="10.6640625" bestFit="1" customWidth="1"/>
    <col min="20" max="20" width="14.33203125" bestFit="1" customWidth="1"/>
  </cols>
  <sheetData>
    <row r="1" spans="1:20" x14ac:dyDescent="0.2">
      <c r="A1" s="20" t="s">
        <v>121</v>
      </c>
      <c r="B1" s="21" t="s">
        <v>170</v>
      </c>
      <c r="C1" s="21" t="s">
        <v>138</v>
      </c>
      <c r="D1" s="21" t="s">
        <v>139</v>
      </c>
      <c r="E1" s="21" t="s">
        <v>340</v>
      </c>
      <c r="F1" s="21" t="s">
        <v>339</v>
      </c>
      <c r="G1" s="21" t="s">
        <v>338</v>
      </c>
      <c r="H1" s="21" t="s">
        <v>263</v>
      </c>
      <c r="I1" s="21" t="s">
        <v>307</v>
      </c>
      <c r="J1" s="21" t="s">
        <v>264</v>
      </c>
      <c r="K1" s="21" t="s">
        <v>270</v>
      </c>
      <c r="L1" s="21" t="s">
        <v>266</v>
      </c>
      <c r="M1" s="21" t="s">
        <v>267</v>
      </c>
      <c r="N1" s="21" t="s">
        <v>268</v>
      </c>
      <c r="O1" s="21" t="s">
        <v>276</v>
      </c>
      <c r="P1" s="21" t="s">
        <v>271</v>
      </c>
      <c r="Q1" s="21" t="s">
        <v>272</v>
      </c>
      <c r="R1" s="21" t="s">
        <v>275</v>
      </c>
      <c r="S1" s="21" t="s">
        <v>277</v>
      </c>
      <c r="T1" s="24" t="s">
        <v>282</v>
      </c>
    </row>
    <row r="2" spans="1:20" x14ac:dyDescent="0.2">
      <c r="A2" s="22" t="str">
        <f>'Team Summaries'!J3</f>
        <v>Coach Carlt</v>
      </c>
      <c r="B2" s="25">
        <f ca="1">'Team Summaries'!K3</f>
        <v>110.15333333333332</v>
      </c>
      <c r="C2" s="25">
        <f ca="1">'Team Summaries'!L3</f>
        <v>107.82666666666665</v>
      </c>
      <c r="D2" s="25">
        <f ca="1">'Team Summaries'!M3</f>
        <v>2.3266666666666667</v>
      </c>
      <c r="E2" s="26">
        <f ca="1">'Team Summaries'!N3</f>
        <v>0.9788779277370937</v>
      </c>
      <c r="F2" s="25">
        <f ca="1">'Team Summaries'!O3</f>
        <v>0</v>
      </c>
      <c r="G2" s="25">
        <f ca="1">'Team Summaries'!P3</f>
        <v>0</v>
      </c>
      <c r="H2" s="27">
        <f>'Team Summaries'!Q3</f>
        <v>2480</v>
      </c>
      <c r="I2" s="27">
        <f>'Team Summaries'!R3</f>
        <v>1866</v>
      </c>
      <c r="J2" s="27">
        <f>'Team Summaries'!S3</f>
        <v>376.86</v>
      </c>
      <c r="K2" s="27">
        <f>'Team Summaries'!T3</f>
        <v>0</v>
      </c>
      <c r="L2" s="27">
        <f>'Team Summaries'!U3</f>
        <v>2135.5400000000004</v>
      </c>
      <c r="M2" s="27">
        <f>'Team Summaries'!V3</f>
        <v>-344.45999999999987</v>
      </c>
      <c r="N2" s="27">
        <f>'Team Summaries'!W3</f>
        <v>3</v>
      </c>
      <c r="O2" s="27">
        <f>'Team Summaries'!X3</f>
        <v>9</v>
      </c>
      <c r="P2" s="27">
        <f ca="1">'Team Summaries'!Y3</f>
        <v>25.153333333333318</v>
      </c>
      <c r="Q2" s="27">
        <f ca="1">'Team Summaries'!Z3</f>
        <v>0</v>
      </c>
      <c r="R2" s="26">
        <f ca="1">'Team Summaries'!AA3</f>
        <v>0.91511936339522537</v>
      </c>
      <c r="S2" s="26">
        <f ca="1">'Team Summaries'!AB3</f>
        <v>-0.48406726338353623</v>
      </c>
      <c r="T2" s="32">
        <f ca="1">'Team Summaries'!AC3</f>
        <v>0.27953576196873048</v>
      </c>
    </row>
    <row r="3" spans="1:20" x14ac:dyDescent="0.2">
      <c r="A3" s="22" t="str">
        <f>'Team Summaries'!J4</f>
        <v>Picken Dis Nose</v>
      </c>
      <c r="B3" s="25">
        <f ca="1">'Team Summaries'!K4</f>
        <v>113.05333333333334</v>
      </c>
      <c r="C3" s="25">
        <f ca="1">'Team Summaries'!L4</f>
        <v>98.053333333333342</v>
      </c>
      <c r="D3" s="25">
        <f ca="1">'Team Summaries'!M4</f>
        <v>15</v>
      </c>
      <c r="E3" s="26">
        <f ca="1">'Team Summaries'!N4</f>
        <v>0.86731925934662102</v>
      </c>
      <c r="F3" s="25">
        <f ca="1">'Team Summaries'!O4</f>
        <v>2.3333333333333335</v>
      </c>
      <c r="G3" s="25">
        <f ca="1">'Team Summaries'!P4</f>
        <v>12.666666666666666</v>
      </c>
      <c r="H3" s="27">
        <f>'Team Summaries'!Q4</f>
        <v>2339</v>
      </c>
      <c r="I3" s="27">
        <f>'Team Summaries'!R4</f>
        <v>1839</v>
      </c>
      <c r="J3" s="27">
        <f>'Team Summaries'!S4</f>
        <v>314.36</v>
      </c>
      <c r="K3" s="27">
        <f>'Team Summaries'!T4</f>
        <v>0</v>
      </c>
      <c r="L3" s="27">
        <f>'Team Summaries'!U4</f>
        <v>1781.3733333333334</v>
      </c>
      <c r="M3" s="27">
        <f>'Team Summaries'!V4</f>
        <v>-557.62666666666655</v>
      </c>
      <c r="N3" s="27">
        <f>'Team Summaries'!W4</f>
        <v>5</v>
      </c>
      <c r="O3" s="27">
        <f>'Team Summaries'!X4</f>
        <v>7.75</v>
      </c>
      <c r="P3" s="27">
        <f ca="1">'Team Summaries'!Y4</f>
        <v>28.579999999999984</v>
      </c>
      <c r="Q3" s="27">
        <f ca="1">'Team Summaries'!Z4</f>
        <v>36.109999999999978</v>
      </c>
      <c r="R3" s="26">
        <f ca="1">'Team Summaries'!AA4</f>
        <v>1</v>
      </c>
      <c r="S3" s="26">
        <f ca="1">'Team Summaries'!AB4</f>
        <v>-0.32022783642404701</v>
      </c>
      <c r="T3" s="32">
        <f ca="1">'Team Summaries'!AC4</f>
        <v>4.510244130572244E-3</v>
      </c>
    </row>
    <row r="4" spans="1:20" x14ac:dyDescent="0.2">
      <c r="A4" s="22" t="str">
        <f>'Team Summaries'!J5</f>
        <v>The Strib Club</v>
      </c>
      <c r="B4" s="25">
        <f ca="1">'Team Summaries'!K5</f>
        <v>108.74666666666666</v>
      </c>
      <c r="C4" s="25">
        <f ca="1">'Team Summaries'!L5</f>
        <v>93.11333333333333</v>
      </c>
      <c r="D4" s="25">
        <f ca="1">'Team Summaries'!M5</f>
        <v>15.633333333333333</v>
      </c>
      <c r="E4" s="26">
        <f ca="1">'Team Summaries'!N5</f>
        <v>0.85624080431584115</v>
      </c>
      <c r="F4" s="25">
        <f ca="1">'Team Summaries'!O5</f>
        <v>1</v>
      </c>
      <c r="G4" s="25">
        <f ca="1">'Team Summaries'!P5</f>
        <v>5.4333333333333336</v>
      </c>
      <c r="H4" s="27">
        <f>'Team Summaries'!Q5</f>
        <v>2163</v>
      </c>
      <c r="I4" s="27">
        <f>'Team Summaries'!R5</f>
        <v>1807</v>
      </c>
      <c r="J4" s="27">
        <f>'Team Summaries'!S5</f>
        <v>334.04</v>
      </c>
      <c r="K4" s="27">
        <f>'Team Summaries'!T5</f>
        <v>0</v>
      </c>
      <c r="L4" s="27">
        <f>'Team Summaries'!U5</f>
        <v>1786.2933333333331</v>
      </c>
      <c r="M4" s="27">
        <f>'Team Summaries'!V5</f>
        <v>-376.70666666666671</v>
      </c>
      <c r="N4" s="27">
        <f>'Team Summaries'!W5</f>
        <v>4</v>
      </c>
      <c r="O4" s="27">
        <f>'Team Summaries'!X5</f>
        <v>7</v>
      </c>
      <c r="P4" s="27">
        <f ca="1">'Team Summaries'!Y5</f>
        <v>54.659999999999989</v>
      </c>
      <c r="Q4" s="27">
        <f ca="1">'Team Summaries'!Z5</f>
        <v>53.39</v>
      </c>
      <c r="R4" s="26">
        <f ca="1">'Team Summaries'!AA5</f>
        <v>1.1144144144144146</v>
      </c>
      <c r="S4" s="26">
        <f ca="1">'Team Summaries'!AB5</f>
        <v>-0.45155114916567618</v>
      </c>
      <c r="T4" s="32">
        <f ca="1">'Team Summaries'!AC5</f>
        <v>-0.78267518865428631</v>
      </c>
    </row>
    <row r="5" spans="1:20" x14ac:dyDescent="0.2">
      <c r="A5" s="22" t="str">
        <f>'Team Summaries'!J6</f>
        <v>Shough and pray</v>
      </c>
      <c r="B5" s="25">
        <f ca="1">'Team Summaries'!K6</f>
        <v>143.89333333333335</v>
      </c>
      <c r="C5" s="25">
        <f ca="1">'Team Summaries'!L6</f>
        <v>139.05999999999997</v>
      </c>
      <c r="D5" s="25">
        <f ca="1">'Team Summaries'!M6</f>
        <v>4.8333333333333348</v>
      </c>
      <c r="E5" s="26">
        <f ca="1">'Team Summaries'!N6</f>
        <v>0.96641030392883587</v>
      </c>
      <c r="F5" s="25">
        <f ca="1">'Team Summaries'!O6</f>
        <v>1.3333333333333333</v>
      </c>
      <c r="G5" s="25">
        <f ca="1">'Team Summaries'!P6</f>
        <v>14.533333333333333</v>
      </c>
      <c r="H5" s="27">
        <f>'Team Summaries'!Q6</f>
        <v>2227</v>
      </c>
      <c r="I5" s="27">
        <f>'Team Summaries'!R6</f>
        <v>1885</v>
      </c>
      <c r="J5" s="27">
        <f>'Team Summaries'!S6</f>
        <v>447.88</v>
      </c>
      <c r="K5" s="27">
        <f>'Team Summaries'!T6</f>
        <v>0</v>
      </c>
      <c r="L5" s="27">
        <f>'Team Summaries'!U6</f>
        <v>2537.9866666666667</v>
      </c>
      <c r="M5" s="27">
        <f>'Team Summaries'!V6</f>
        <v>310.98666666666668</v>
      </c>
      <c r="N5" s="27">
        <f>'Team Summaries'!W6</f>
        <v>2</v>
      </c>
      <c r="O5" s="27">
        <f>'Team Summaries'!X6</f>
        <v>4.25</v>
      </c>
      <c r="P5" s="27">
        <f ca="1">'Team Summaries'!Y6</f>
        <v>36.080000000000005</v>
      </c>
      <c r="Q5" s="27">
        <f ca="1">'Team Summaries'!Z6</f>
        <v>0</v>
      </c>
      <c r="R5" s="26">
        <f ca="1">'Team Summaries'!AA6</f>
        <v>1</v>
      </c>
      <c r="S5" s="26">
        <f ca="1">'Team Summaries'!AB6</f>
        <v>-5.0644371770514063E-4</v>
      </c>
      <c r="T5" s="32">
        <f ca="1">'Team Summaries'!AC6</f>
        <v>1.2190052192605669</v>
      </c>
    </row>
    <row r="6" spans="1:20" x14ac:dyDescent="0.2">
      <c r="A6" s="22" t="str">
        <f>'Team Summaries'!J7</f>
        <v>Pleading the Fifth Down</v>
      </c>
      <c r="B6" s="25">
        <f ca="1">'Team Summaries'!K7</f>
        <v>135.36666666666667</v>
      </c>
      <c r="C6" s="25">
        <f ca="1">'Team Summaries'!L7</f>
        <v>119.86666666666666</v>
      </c>
      <c r="D6" s="25">
        <f ca="1">'Team Summaries'!M7</f>
        <v>15.500000000000002</v>
      </c>
      <c r="E6" s="26">
        <f ca="1">'Team Summaries'!N7</f>
        <v>0.88549618320610679</v>
      </c>
      <c r="F6" s="25">
        <f ca="1">'Team Summaries'!O7</f>
        <v>0.33333333333333331</v>
      </c>
      <c r="G6" s="25">
        <f ca="1">'Team Summaries'!P7</f>
        <v>4.5466666666666669</v>
      </c>
      <c r="H6" s="27">
        <f>'Team Summaries'!Q7</f>
        <v>2558</v>
      </c>
      <c r="I6" s="27">
        <f>'Team Summaries'!R7</f>
        <v>1904</v>
      </c>
      <c r="J6" s="27">
        <f>'Team Summaries'!S7</f>
        <v>455.04</v>
      </c>
      <c r="K6" s="27">
        <f>'Team Summaries'!T7</f>
        <v>0</v>
      </c>
      <c r="L6" s="27">
        <f>'Team Summaries'!U7</f>
        <v>2578.5600000000004</v>
      </c>
      <c r="M6" s="27">
        <f>'Team Summaries'!V7</f>
        <v>20.560000000000088</v>
      </c>
      <c r="N6" s="27">
        <f>'Team Summaries'!W7</f>
        <v>0</v>
      </c>
      <c r="O6" s="27">
        <f>'Team Summaries'!X7</f>
        <v>0</v>
      </c>
      <c r="P6" s="27">
        <f ca="1">'Team Summaries'!Y7</f>
        <v>16.919999999999987</v>
      </c>
      <c r="Q6" s="27">
        <f ca="1">'Team Summaries'!Z7</f>
        <v>7.8600000000000136</v>
      </c>
      <c r="R6" s="26">
        <f ca="1">'Team Summaries'!AA7</f>
        <v>1</v>
      </c>
      <c r="S6" s="26">
        <f ca="1">'Team Summaries'!AB7</f>
        <v>0.34517239402116978</v>
      </c>
      <c r="T6" s="32">
        <f ca="1">'Team Summaries'!AC7</f>
        <v>0.22068710892518839</v>
      </c>
    </row>
    <row r="7" spans="1:20" x14ac:dyDescent="0.2">
      <c r="A7" s="22" t="str">
        <f>'Team Summaries'!J8</f>
        <v>Please Let Me Win IDK what 2 do</v>
      </c>
      <c r="B7" s="25">
        <f ca="1">'Team Summaries'!K8</f>
        <v>140.96</v>
      </c>
      <c r="C7" s="25">
        <f ca="1">'Team Summaries'!L8</f>
        <v>136.39333333333335</v>
      </c>
      <c r="D7" s="25">
        <f ca="1">'Team Summaries'!M8</f>
        <v>4.5666666666666673</v>
      </c>
      <c r="E7" s="26">
        <f ca="1">'Team Summaries'!N8</f>
        <v>0.96760310253499815</v>
      </c>
      <c r="F7" s="25">
        <f ca="1">'Team Summaries'!O8</f>
        <v>0.33333333333333331</v>
      </c>
      <c r="G7" s="25">
        <f ca="1">'Team Summaries'!P8</f>
        <v>7.4066666666666663</v>
      </c>
      <c r="H7" s="27">
        <f>'Team Summaries'!Q8</f>
        <v>2178</v>
      </c>
      <c r="I7" s="27">
        <f>'Team Summaries'!R8</f>
        <v>1881</v>
      </c>
      <c r="J7" s="27">
        <f>'Team Summaries'!S8</f>
        <v>414.46000000000004</v>
      </c>
      <c r="K7" s="27">
        <f>'Team Summaries'!T8</f>
        <v>0</v>
      </c>
      <c r="L7" s="27">
        <f>'Team Summaries'!U8</f>
        <v>2348.6066666666666</v>
      </c>
      <c r="M7" s="27">
        <f>'Team Summaries'!V8</f>
        <v>170.60666666666671</v>
      </c>
      <c r="N7" s="27">
        <f>'Team Summaries'!W8</f>
        <v>1</v>
      </c>
      <c r="O7" s="27">
        <f>'Team Summaries'!X8</f>
        <v>2</v>
      </c>
      <c r="P7" s="27">
        <f ca="1">'Team Summaries'!Y8</f>
        <v>22.360000000000014</v>
      </c>
      <c r="Q7" s="27">
        <f ca="1">'Team Summaries'!Z8</f>
        <v>22.08</v>
      </c>
      <c r="R7" s="26">
        <f ca="1">'Team Summaries'!AA8</f>
        <v>1.0616324264297612</v>
      </c>
      <c r="S7" s="26">
        <f ca="1">'Team Summaries'!AB8</f>
        <v>0.34958323351764947</v>
      </c>
      <c r="T7" s="32">
        <f ca="1">'Team Summaries'!AC8</f>
        <v>0.77002374107074534</v>
      </c>
    </row>
    <row r="8" spans="1:20" x14ac:dyDescent="0.2">
      <c r="A8" s="22" t="str">
        <f>'Team Summaries'!J9</f>
        <v>I'm At My Limit</v>
      </c>
      <c r="B8" s="25">
        <f ca="1">'Team Summaries'!K9</f>
        <v>124.27999999999999</v>
      </c>
      <c r="C8" s="25">
        <f ca="1">'Team Summaries'!L9</f>
        <v>110.15999999999998</v>
      </c>
      <c r="D8" s="25">
        <f ca="1">'Team Summaries'!M9</f>
        <v>14.12</v>
      </c>
      <c r="E8" s="26">
        <f ca="1">'Team Summaries'!N9</f>
        <v>0.88638558094625031</v>
      </c>
      <c r="F8" s="25">
        <f ca="1">'Team Summaries'!O9</f>
        <v>1.3333333333333333</v>
      </c>
      <c r="G8" s="25">
        <f ca="1">'Team Summaries'!P9</f>
        <v>13.333333333333334</v>
      </c>
      <c r="H8" s="27">
        <f>'Team Summaries'!Q9</f>
        <v>2425</v>
      </c>
      <c r="I8" s="27">
        <f>'Team Summaries'!R9</f>
        <v>1874</v>
      </c>
      <c r="J8" s="27">
        <f>'Team Summaries'!S9</f>
        <v>398.46000000000004</v>
      </c>
      <c r="K8" s="27">
        <f>'Team Summaries'!T9</f>
        <v>0</v>
      </c>
      <c r="L8" s="27">
        <f>'Team Summaries'!U9</f>
        <v>2257.94</v>
      </c>
      <c r="M8" s="27">
        <f>'Team Summaries'!V9</f>
        <v>-167.06000000000009</v>
      </c>
      <c r="N8" s="27">
        <f>'Team Summaries'!W9</f>
        <v>2</v>
      </c>
      <c r="O8" s="27">
        <f>'Team Summaries'!X9</f>
        <v>1.25</v>
      </c>
      <c r="P8" s="27">
        <f ca="1">'Team Summaries'!Y9</f>
        <v>37.039999999999992</v>
      </c>
      <c r="Q8" s="27">
        <f ca="1">'Team Summaries'!Z9</f>
        <v>35.499999999999986</v>
      </c>
      <c r="R8" s="26">
        <f ca="1">'Team Summaries'!AA9</f>
        <v>1</v>
      </c>
      <c r="S8" s="26">
        <f ca="1">'Team Summaries'!AB9</f>
        <v>0.23853729362051174</v>
      </c>
      <c r="T8" s="32">
        <f ca="1">'Team Summaries'!AC9</f>
        <v>0.48525626398919286</v>
      </c>
    </row>
    <row r="9" spans="1:20" x14ac:dyDescent="0.2">
      <c r="A9" s="22" t="str">
        <f>'Team Summaries'!J10</f>
        <v>Puka bit my finger</v>
      </c>
      <c r="B9" s="25">
        <f ca="1">'Team Summaries'!K10</f>
        <v>115.66666666666669</v>
      </c>
      <c r="C9" s="25">
        <f ca="1">'Team Summaries'!L10</f>
        <v>96.473333333333343</v>
      </c>
      <c r="D9" s="25">
        <f ca="1">'Team Summaries'!M10</f>
        <v>19.193333333333332</v>
      </c>
      <c r="E9" s="26">
        <f ca="1">'Team Summaries'!N10</f>
        <v>0.83406340057636885</v>
      </c>
      <c r="F9" s="25">
        <f ca="1">'Team Summaries'!O10</f>
        <v>0</v>
      </c>
      <c r="G9" s="25">
        <f ca="1">'Team Summaries'!P10</f>
        <v>0</v>
      </c>
      <c r="H9" s="27">
        <f>'Team Summaries'!Q10</f>
        <v>2523</v>
      </c>
      <c r="I9" s="27">
        <f>'Team Summaries'!R10</f>
        <v>1875</v>
      </c>
      <c r="J9" s="27">
        <f>'Team Summaries'!S10</f>
        <v>419.79999999999995</v>
      </c>
      <c r="K9" s="27">
        <f>'Team Summaries'!T10</f>
        <v>0</v>
      </c>
      <c r="L9" s="27">
        <f>'Team Summaries'!U10</f>
        <v>2378.8666666666668</v>
      </c>
      <c r="M9" s="27">
        <f>'Team Summaries'!V10</f>
        <v>-144.13333333333333</v>
      </c>
      <c r="N9" s="27">
        <f>'Team Summaries'!W10</f>
        <v>2</v>
      </c>
      <c r="O9" s="27">
        <f>'Team Summaries'!X10</f>
        <v>7</v>
      </c>
      <c r="P9" s="27">
        <f ca="1">'Team Summaries'!Y10</f>
        <v>34.44</v>
      </c>
      <c r="Q9" s="27">
        <f ca="1">'Team Summaries'!Z10</f>
        <v>26.449999999999982</v>
      </c>
      <c r="R9" s="26">
        <f ca="1">'Team Summaries'!AA10</f>
        <v>1</v>
      </c>
      <c r="S9" s="26">
        <f ca="1">'Team Summaries'!AB10</f>
        <v>-0.15023747672321691</v>
      </c>
      <c r="T9" s="32">
        <f ca="1">'Team Summaries'!AC10</f>
        <v>-0.66659723990716946</v>
      </c>
    </row>
    <row r="10" spans="1:20" x14ac:dyDescent="0.2">
      <c r="A10" s="22" t="str">
        <f>'Team Summaries'!J11</f>
        <v>Lemieuse-bouche sais quoi</v>
      </c>
      <c r="B10" s="25">
        <f ca="1">'Team Summaries'!K11</f>
        <v>111.16666666666667</v>
      </c>
      <c r="C10" s="25">
        <f ca="1">'Team Summaries'!L11</f>
        <v>106.83333333333333</v>
      </c>
      <c r="D10" s="25">
        <f ca="1">'Team Summaries'!M11</f>
        <v>4.333333333333333</v>
      </c>
      <c r="E10" s="26">
        <f ca="1">'Team Summaries'!N11</f>
        <v>0.96101949025487243</v>
      </c>
      <c r="F10" s="25">
        <f ca="1">'Team Summaries'!O11</f>
        <v>0.66666666666666663</v>
      </c>
      <c r="G10" s="25">
        <f ca="1">'Team Summaries'!P11</f>
        <v>3.6999999999999997</v>
      </c>
      <c r="H10" s="27">
        <f>'Team Summaries'!Q11</f>
        <v>2298</v>
      </c>
      <c r="I10" s="27">
        <f>'Team Summaries'!R11</f>
        <v>1859</v>
      </c>
      <c r="J10" s="27">
        <f>'Team Summaries'!S11</f>
        <v>352.8</v>
      </c>
      <c r="K10" s="27">
        <f>'Team Summaries'!T11</f>
        <v>0</v>
      </c>
      <c r="L10" s="27">
        <f>'Team Summaries'!U11</f>
        <v>1999.1999999999998</v>
      </c>
      <c r="M10" s="27">
        <f>'Team Summaries'!V11</f>
        <v>-298.8</v>
      </c>
      <c r="N10" s="27">
        <f>'Team Summaries'!W11</f>
        <v>1</v>
      </c>
      <c r="O10" s="27">
        <f>'Team Summaries'!X11</f>
        <v>2</v>
      </c>
      <c r="P10" s="27">
        <f ca="1">'Team Summaries'!Y11</f>
        <v>29.780000000000015</v>
      </c>
      <c r="Q10" s="27">
        <f ca="1">'Team Summaries'!Z11</f>
        <v>31.379999999999995</v>
      </c>
      <c r="R10" s="26">
        <f ca="1">'Team Summaries'!AA11</f>
        <v>0.94539544962080146</v>
      </c>
      <c r="S10" s="26">
        <f ca="1">'Team Summaries'!AB11</f>
        <v>0.23349576012309314</v>
      </c>
      <c r="T10" s="32">
        <f ca="1">'Team Summaries'!AC11</f>
        <v>0.31119769618659548</v>
      </c>
    </row>
    <row r="11" spans="1:20" x14ac:dyDescent="0.2">
      <c r="A11" s="22" t="str">
        <f>'Team Summaries'!J12</f>
        <v>the medical tent apparently</v>
      </c>
      <c r="B11" s="25">
        <f ca="1">'Team Summaries'!K12</f>
        <v>102.68666666666667</v>
      </c>
      <c r="C11" s="25">
        <f ca="1">'Team Summaries'!L12</f>
        <v>91.466666666666654</v>
      </c>
      <c r="D11" s="28">
        <f ca="1">'Team Summaries'!M12</f>
        <v>11.219999999999999</v>
      </c>
      <c r="E11" s="26">
        <f ca="1">'Team Summaries'!N12</f>
        <v>0.89073557099266365</v>
      </c>
      <c r="F11" s="25">
        <f ca="1">'Team Summaries'!O12</f>
        <v>0</v>
      </c>
      <c r="G11" s="28">
        <f ca="1">'Team Summaries'!P12</f>
        <v>0</v>
      </c>
      <c r="H11" s="27">
        <f>'Team Summaries'!Q12</f>
        <v>2433</v>
      </c>
      <c r="I11" s="27">
        <f>'Team Summaries'!R12</f>
        <v>1830</v>
      </c>
      <c r="J11" s="27">
        <f>'Team Summaries'!S12</f>
        <v>364.40000000000003</v>
      </c>
      <c r="K11" s="27">
        <f>'Team Summaries'!T12</f>
        <v>0</v>
      </c>
      <c r="L11" s="27">
        <f>'Team Summaries'!U12</f>
        <v>2064.9333333333334</v>
      </c>
      <c r="M11" s="27">
        <f>'Team Summaries'!V12</f>
        <v>-368.06666666666661</v>
      </c>
      <c r="N11" s="27">
        <f>'Team Summaries'!W12</f>
        <v>0</v>
      </c>
      <c r="O11" s="27">
        <f>'Team Summaries'!X12</f>
        <v>0</v>
      </c>
      <c r="P11" s="27">
        <f ca="1">'Team Summaries'!Y12</f>
        <v>0</v>
      </c>
      <c r="Q11" s="27">
        <f ca="1">'Team Summaries'!Z12</f>
        <v>32.76</v>
      </c>
      <c r="R11" s="26">
        <f ca="1">'Team Summaries'!AA12</f>
        <v>1.3359858532272322</v>
      </c>
      <c r="S11" s="26">
        <f ca="1">'Team Summaries'!AB12</f>
        <v>-7.5371634677582566E-2</v>
      </c>
      <c r="T11" s="32">
        <f ca="1">'Team Summaries'!AC12</f>
        <v>-0.65931715820089487</v>
      </c>
    </row>
    <row r="12" spans="1:20" x14ac:dyDescent="0.2">
      <c r="A12" s="22" t="str">
        <f>'Team Summaries'!J13</f>
        <v>your friendly fantasy despot</v>
      </c>
      <c r="B12" s="25">
        <f ca="1">'Team Summaries'!K13</f>
        <v>123.50666666666666</v>
      </c>
      <c r="C12" s="25">
        <f ca="1">'Team Summaries'!L13</f>
        <v>118.13333333333333</v>
      </c>
      <c r="D12" s="25">
        <f ca="1">'Team Summaries'!M13</f>
        <v>5.3733333333333322</v>
      </c>
      <c r="E12" s="26">
        <f ca="1">'Team Summaries'!N13</f>
        <v>0.95649357659505563</v>
      </c>
      <c r="F12" s="25">
        <f ca="1">'Team Summaries'!O13</f>
        <v>0.33333333333333331</v>
      </c>
      <c r="G12" s="25">
        <f ca="1">'Team Summaries'!P13</f>
        <v>0.33333333333333331</v>
      </c>
      <c r="H12" s="27">
        <f>'Team Summaries'!Q13</f>
        <v>2486</v>
      </c>
      <c r="I12" s="27">
        <f>'Team Summaries'!R13</f>
        <v>1791</v>
      </c>
      <c r="J12" s="27">
        <f>'Team Summaries'!S13</f>
        <v>438.14</v>
      </c>
      <c r="K12" s="27">
        <f>'Team Summaries'!T13</f>
        <v>0</v>
      </c>
      <c r="L12" s="27">
        <f>'Team Summaries'!U13</f>
        <v>2482.7933333333331</v>
      </c>
      <c r="M12" s="27">
        <f>'Team Summaries'!V13</f>
        <v>-3.2066666666667629</v>
      </c>
      <c r="N12" s="27">
        <f>'Team Summaries'!W13</f>
        <v>3</v>
      </c>
      <c r="O12" s="27">
        <f>'Team Summaries'!X13</f>
        <v>8.75</v>
      </c>
      <c r="P12" s="27">
        <f ca="1">'Team Summaries'!Y13</f>
        <v>31.29</v>
      </c>
      <c r="Q12" s="27">
        <f ca="1">'Team Summaries'!Z13</f>
        <v>7.539999999999992</v>
      </c>
      <c r="R12" s="26">
        <f ca="1">'Team Summaries'!AA13</f>
        <v>0.913171305370443</v>
      </c>
      <c r="S12" s="26">
        <f ca="1">'Team Summaries'!AB13</f>
        <v>-0.17664747285556293</v>
      </c>
      <c r="T12" s="32">
        <f ca="1">'Team Summaries'!AC13</f>
        <v>-0.51546901441435267</v>
      </c>
    </row>
    <row r="13" spans="1:20" x14ac:dyDescent="0.2">
      <c r="A13" s="22" t="str">
        <f>'Team Summaries'!J14</f>
        <v>pretty good team</v>
      </c>
      <c r="B13" s="25">
        <f ca="1">'Team Summaries'!K14</f>
        <v>99.179999999999993</v>
      </c>
      <c r="C13" s="25">
        <f ca="1">'Team Summaries'!L14</f>
        <v>91.313333333333333</v>
      </c>
      <c r="D13" s="25">
        <f ca="1">'Team Summaries'!M14</f>
        <v>7.8666666666666663</v>
      </c>
      <c r="E13" s="26">
        <f ca="1">'Team Summaries'!N14</f>
        <v>0.92068293338710772</v>
      </c>
      <c r="F13" s="25">
        <f ca="1">'Team Summaries'!O14</f>
        <v>0.66666666666666663</v>
      </c>
      <c r="G13" s="25">
        <f ca="1">'Team Summaries'!P14</f>
        <v>0.33333333333333331</v>
      </c>
      <c r="H13" s="27">
        <f>'Team Summaries'!Q14</f>
        <v>2483</v>
      </c>
      <c r="I13" s="27">
        <f>'Team Summaries'!R14</f>
        <v>1800</v>
      </c>
      <c r="J13" s="27">
        <f>'Team Summaries'!S14</f>
        <v>341.38</v>
      </c>
      <c r="K13" s="27">
        <f>'Team Summaries'!T14</f>
        <v>0</v>
      </c>
      <c r="L13" s="27">
        <f>'Team Summaries'!U14</f>
        <v>1934.4866666666667</v>
      </c>
      <c r="M13" s="27">
        <f>'Team Summaries'!V14</f>
        <v>-548.51333333333321</v>
      </c>
      <c r="N13" s="27">
        <f>'Team Summaries'!W14</f>
        <v>3</v>
      </c>
      <c r="O13" s="27">
        <f>'Team Summaries'!X14</f>
        <v>3.75</v>
      </c>
      <c r="P13" s="27">
        <f ca="1">'Team Summaries'!Y14</f>
        <v>0</v>
      </c>
      <c r="Q13" s="27">
        <f ca="1">'Team Summaries'!Z14</f>
        <v>34.920000000000009</v>
      </c>
      <c r="R13" s="26">
        <f ca="1">'Team Summaries'!AA14</f>
        <v>1.0472273004265695</v>
      </c>
      <c r="S13" s="26">
        <f ca="1">'Team Summaries'!AB14</f>
        <v>0.15424587548160165</v>
      </c>
      <c r="T13" s="32">
        <f ca="1">'Team Summaries'!AC14</f>
        <v>-0.69015019804559208</v>
      </c>
    </row>
    <row r="14" spans="1:20" x14ac:dyDescent="0.2">
      <c r="A14" s="22" t="str">
        <f>'Team Summaries'!J15</f>
        <v>Juwan's Big Johnson</v>
      </c>
      <c r="B14" s="25">
        <f ca="1">'Team Summaries'!K15</f>
        <v>129.46</v>
      </c>
      <c r="C14" s="25">
        <f ca="1">'Team Summaries'!L15</f>
        <v>118.00666666666666</v>
      </c>
      <c r="D14" s="25">
        <f ca="1">'Team Summaries'!M15</f>
        <v>11.453333333333333</v>
      </c>
      <c r="E14" s="26">
        <f ca="1">'Team Summaries'!N15</f>
        <v>0.91152994489932526</v>
      </c>
      <c r="F14" s="25">
        <f ca="1">'Team Summaries'!O15</f>
        <v>1</v>
      </c>
      <c r="G14" s="25">
        <f ca="1">'Team Summaries'!P15</f>
        <v>13.51333333333333</v>
      </c>
      <c r="H14" s="27">
        <f>'Team Summaries'!Q15</f>
        <v>2360</v>
      </c>
      <c r="I14" s="27">
        <f>'Team Summaries'!R15</f>
        <v>1791</v>
      </c>
      <c r="J14" s="27">
        <f>'Team Summaries'!S15</f>
        <v>405.48</v>
      </c>
      <c r="K14" s="27">
        <f>'Team Summaries'!T15</f>
        <v>0</v>
      </c>
      <c r="L14" s="27">
        <f>'Team Summaries'!U15</f>
        <v>2297.7200000000003</v>
      </c>
      <c r="M14" s="27">
        <f>'Team Summaries'!V15</f>
        <v>-62.280000000000058</v>
      </c>
      <c r="N14" s="27">
        <f>'Team Summaries'!W15</f>
        <v>3</v>
      </c>
      <c r="O14" s="27">
        <f>'Team Summaries'!X15</f>
        <v>9</v>
      </c>
      <c r="P14" s="27">
        <f ca="1">'Team Summaries'!Y15</f>
        <v>40.049999999999976</v>
      </c>
      <c r="Q14" s="27">
        <f ca="1">'Team Summaries'!Z15</f>
        <v>24.300000000000011</v>
      </c>
      <c r="R14" s="26">
        <f ca="1">'Team Summaries'!AA15</f>
        <v>1</v>
      </c>
      <c r="S14" s="26">
        <f ca="1">'Team Summaries'!AB15</f>
        <v>-0.29429207150519143</v>
      </c>
      <c r="T14" s="32">
        <f ca="1">'Team Summaries'!AC15</f>
        <v>-5.2472454733865449E-2</v>
      </c>
    </row>
    <row r="15" spans="1:20" x14ac:dyDescent="0.2">
      <c r="A15" s="23" t="str">
        <f>'Team Summaries'!J16</f>
        <v>Jungle Drummer</v>
      </c>
      <c r="B15" s="29">
        <f ca="1">'Team Summaries'!K16</f>
        <v>118.44</v>
      </c>
      <c r="C15" s="29">
        <f ca="1">'Team Summaries'!L16</f>
        <v>104.53333333333335</v>
      </c>
      <c r="D15" s="29">
        <f ca="1">'Team Summaries'!M16</f>
        <v>13.906666666666666</v>
      </c>
      <c r="E15" s="30">
        <f ca="1">'Team Summaries'!N16</f>
        <v>0.88258471237194658</v>
      </c>
      <c r="F15" s="29">
        <f ca="1">'Team Summaries'!O16</f>
        <v>1.3333333333333333</v>
      </c>
      <c r="G15" s="29">
        <f ca="1">'Team Summaries'!P16</f>
        <v>7.333333333333333</v>
      </c>
      <c r="H15" s="31">
        <f>'Team Summaries'!Q16</f>
        <v>2408</v>
      </c>
      <c r="I15" s="31">
        <f>'Team Summaries'!R16</f>
        <v>1871</v>
      </c>
      <c r="J15" s="31">
        <f>'Team Summaries'!S16</f>
        <v>400.88000000000005</v>
      </c>
      <c r="K15" s="31">
        <f>'Team Summaries'!T16</f>
        <v>0</v>
      </c>
      <c r="L15" s="31">
        <f>'Team Summaries'!U16</f>
        <v>2271.6533333333332</v>
      </c>
      <c r="M15" s="31">
        <f>'Team Summaries'!V16</f>
        <v>-136.34666666666672</v>
      </c>
      <c r="N15" s="31">
        <f>'Team Summaries'!W16</f>
        <v>0</v>
      </c>
      <c r="O15" s="31">
        <f>'Team Summaries'!X16</f>
        <v>0</v>
      </c>
      <c r="P15" s="31">
        <f ca="1">'Team Summaries'!Y16</f>
        <v>0</v>
      </c>
      <c r="Q15" s="31">
        <f ca="1">'Team Summaries'!Z16</f>
        <v>30.886666666666656</v>
      </c>
      <c r="R15" s="30">
        <f ca="1">'Team Summaries'!AA16</f>
        <v>1.0489965397923877</v>
      </c>
      <c r="S15" s="30">
        <f ca="1">'Team Summaries'!AB16</f>
        <v>0.6318667916884908</v>
      </c>
      <c r="T15" s="33">
        <f ca="1">'Team Summaries'!AC16</f>
        <v>7.6465218424567105E-2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F84E-FFC7-3F40-BE80-9E05ADE3DDCD}">
  <sheetPr codeName="Sheet4"/>
  <dimension ref="A1:V22"/>
  <sheetViews>
    <sheetView topLeftCell="C1" workbookViewId="0">
      <selection activeCell="S3" sqref="S3:S9"/>
    </sheetView>
  </sheetViews>
  <sheetFormatPr baseColWidth="10" defaultRowHeight="16" x14ac:dyDescent="0.2"/>
  <cols>
    <col min="1" max="1" width="5.83203125" bestFit="1" customWidth="1"/>
    <col min="2" max="3" width="29.6640625" bestFit="1" customWidth="1"/>
    <col min="4" max="5" width="8.6640625" bestFit="1" customWidth="1"/>
    <col min="8" max="8" width="29.6640625" bestFit="1" customWidth="1"/>
    <col min="13" max="13" width="26.1640625" bestFit="1" customWidth="1"/>
    <col min="19" max="19" width="29.6640625" bestFit="1" customWidth="1"/>
  </cols>
  <sheetData>
    <row r="1" spans="1:22" x14ac:dyDescent="0.2">
      <c r="A1" t="s">
        <v>131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H1" t="s">
        <v>121</v>
      </c>
      <c r="I1" t="s">
        <v>177</v>
      </c>
      <c r="J1" t="s">
        <v>178</v>
      </c>
      <c r="L1" s="5" t="s">
        <v>179</v>
      </c>
      <c r="R1" s="5" t="s">
        <v>183</v>
      </c>
    </row>
    <row r="2" spans="1:22" x14ac:dyDescent="0.2">
      <c r="A2">
        <v>1</v>
      </c>
      <c r="B2" t="s">
        <v>463</v>
      </c>
      <c r="C2" t="s">
        <v>545</v>
      </c>
      <c r="D2" cm="1">
        <f t="array" aca="1" ref="D2" ca="1">INDEX('Team Summaries'!$C$2:$C$1000,MATCH(1,('Weekly Ideal Results'!$A2='Team Summaries'!$B$2:$B$1000)*('Weekly Ideal Results'!B2='Team Summaries'!$A$2:$A$1000),0))</f>
        <v>95.3</v>
      </c>
      <c r="E2" cm="1">
        <f t="array" aca="1" ref="E2" ca="1">INDEX('Team Summaries'!$C$2:$C$1000,MATCH(1,('Weekly Ideal Results'!$A2='Team Summaries'!$B$2:$B$1000)*('Weekly Ideal Results'!C2='Team Summaries'!$A$2:$A$1000),0))</f>
        <v>129.06</v>
      </c>
      <c r="F2">
        <f t="shared" ref="F2:F22" ca="1" si="0">D2-E2</f>
        <v>-33.760000000000005</v>
      </c>
      <c r="H2" t="str">
        <f>'Team Summaries'!J3</f>
        <v>Coach Carlt</v>
      </c>
      <c r="I2">
        <f ca="1">COUNTIFS($B$2:$B$1000,H2,$F$2:$F$1000,"&gt;0")+COUNTIFS($C$2:$C$1000,H2,$F$2:$F$1000,"&lt;0")</f>
        <v>3</v>
      </c>
      <c r="J2">
        <f ca="1">COUNTIFS($B$2:$B$1000,H2,$F$2:$F$1000,"&lt;0")+COUNTIFS($C$2:$C$1000,H2,$F$2:$F$1000,"&gt;0")</f>
        <v>0</v>
      </c>
      <c r="L2" t="s">
        <v>171</v>
      </c>
      <c r="M2" t="s">
        <v>121</v>
      </c>
      <c r="N2" t="s">
        <v>180</v>
      </c>
      <c r="O2" t="s">
        <v>181</v>
      </c>
      <c r="P2" t="s">
        <v>182</v>
      </c>
      <c r="R2" t="s">
        <v>171</v>
      </c>
      <c r="S2" t="s">
        <v>121</v>
      </c>
      <c r="T2" t="s">
        <v>180</v>
      </c>
      <c r="U2" t="s">
        <v>181</v>
      </c>
      <c r="V2" t="s">
        <v>182</v>
      </c>
    </row>
    <row r="3" spans="1:22" x14ac:dyDescent="0.2">
      <c r="A3">
        <v>1</v>
      </c>
      <c r="B3" t="s">
        <v>469</v>
      </c>
      <c r="C3" t="s">
        <v>468</v>
      </c>
      <c r="D3" cm="1">
        <f t="array" aca="1" ref="D3" ca="1">INDEX('Team Summaries'!$C$2:$C$1000,MATCH(1,('Weekly Ideal Results'!$A3='Team Summaries'!$B$2:$B$1000)*('Weekly Ideal Results'!B3='Team Summaries'!$A$2:$A$1000),0))</f>
        <v>164.20000000000002</v>
      </c>
      <c r="E3" cm="1">
        <f t="array" aca="1" ref="E3" ca="1">INDEX('Team Summaries'!$C$2:$C$1000,MATCH(1,('Weekly Ideal Results'!$A3='Team Summaries'!$B$2:$B$1000)*('Weekly Ideal Results'!C3='Team Summaries'!$A$2:$A$1000),0))</f>
        <v>101.95999999999998</v>
      </c>
      <c r="F3">
        <f t="shared" ca="1" si="0"/>
        <v>62.240000000000038</v>
      </c>
      <c r="H3" t="str">
        <f>'Team Summaries'!J4</f>
        <v>Picken Dis Nose</v>
      </c>
      <c r="I3">
        <f t="shared" ref="I3:I13" ca="1" si="1">COUNTIFS($B$2:$B$1000,H3,$F$2:$F$1000,"&gt;0")+COUNTIFS($C$2:$C$1000,H3,$F$2:$F$1000,"&lt;0")</f>
        <v>1</v>
      </c>
      <c r="J3">
        <f t="shared" ref="J3:J13" ca="1" si="2">COUNTIFS($B$2:$B$1000,H3,$F$2:$F$1000,"&lt;0")+COUNTIFS($C$2:$C$1000,H3,$F$2:$F$1000,"&gt;0")</f>
        <v>2</v>
      </c>
      <c r="L3">
        <v>1</v>
      </c>
      <c r="M3" t="s">
        <v>469</v>
      </c>
      <c r="N3">
        <f ca="1">VLOOKUP(Table2[[#This Row],[Team]],$H$2:$J$15,2,FALSE)</f>
        <v>3</v>
      </c>
      <c r="O3">
        <f ca="1">VLOOKUP(Table2[[#This Row],[Team]],$H$2:$J$15,3,FALSE)</f>
        <v>0</v>
      </c>
      <c r="P3" s="8">
        <f t="shared" ref="P3:P9" ca="1" si="3">N3/SUM(N3,O3)</f>
        <v>1</v>
      </c>
      <c r="R3">
        <v>1</v>
      </c>
      <c r="S3" t="s">
        <v>478</v>
      </c>
      <c r="T3">
        <f ca="1">VLOOKUP(Table3[[#This Row],[Team]],$H$2:$J$15,2,FALSE)</f>
        <v>2</v>
      </c>
      <c r="U3">
        <f ca="1">VLOOKUP(Table3[[#This Row],[Team]],$H$2:$J$15,3,FALSE)</f>
        <v>1</v>
      </c>
      <c r="V3" s="8">
        <f t="shared" ref="V3:V9" ca="1" si="4">T3/SUM(T3,U3)</f>
        <v>0.66666666666666663</v>
      </c>
    </row>
    <row r="4" spans="1:22" x14ac:dyDescent="0.2">
      <c r="A4">
        <v>1</v>
      </c>
      <c r="B4" t="s">
        <v>309</v>
      </c>
      <c r="C4" t="s">
        <v>478</v>
      </c>
      <c r="D4" cm="1">
        <f t="array" aca="1" ref="D4" ca="1">INDEX('Team Summaries'!$C$2:$C$1000,MATCH(1,('Weekly Ideal Results'!$A4='Team Summaries'!$B$2:$B$1000)*('Weekly Ideal Results'!B4='Team Summaries'!$A$2:$A$1000),0))</f>
        <v>144.5</v>
      </c>
      <c r="E4" cm="1">
        <f t="array" aca="1" ref="E4" ca="1">INDEX('Team Summaries'!$C$2:$C$1000,MATCH(1,('Weekly Ideal Results'!$A4='Team Summaries'!$B$2:$B$1000)*('Weekly Ideal Results'!C4='Team Summaries'!$A$2:$A$1000),0))</f>
        <v>145.84</v>
      </c>
      <c r="F4">
        <f t="shared" ca="1" si="0"/>
        <v>-1.3400000000000034</v>
      </c>
      <c r="H4" t="str">
        <f>'Team Summaries'!J5</f>
        <v>The Strib Club</v>
      </c>
      <c r="I4">
        <f t="shared" ca="1" si="1"/>
        <v>1</v>
      </c>
      <c r="J4">
        <f t="shared" ca="1" si="2"/>
        <v>2</v>
      </c>
      <c r="L4">
        <f t="shared" ref="L4:L9" si="5">L3+1</f>
        <v>2</v>
      </c>
      <c r="M4" t="s">
        <v>545</v>
      </c>
      <c r="N4">
        <f ca="1">VLOOKUP(Table2[[#This Row],[Team]],$H$2:$J$15,2,FALSE)</f>
        <v>3</v>
      </c>
      <c r="O4">
        <f ca="1">VLOOKUP(Table2[[#This Row],[Team]],$H$2:$J$15,3,FALSE)</f>
        <v>0</v>
      </c>
      <c r="P4" s="8">
        <f t="shared" ca="1" si="3"/>
        <v>1</v>
      </c>
      <c r="R4">
        <f>R3+1</f>
        <v>2</v>
      </c>
      <c r="S4" t="s">
        <v>499</v>
      </c>
      <c r="T4">
        <f ca="1">VLOOKUP(Table3[[#This Row],[Team]],$H$2:$J$15,2,FALSE)</f>
        <v>2</v>
      </c>
      <c r="U4">
        <f ca="1">VLOOKUP(Table3[[#This Row],[Team]],$H$2:$J$15,3,FALSE)</f>
        <v>1</v>
      </c>
      <c r="V4" s="8">
        <f t="shared" ca="1" si="4"/>
        <v>0.66666666666666663</v>
      </c>
    </row>
    <row r="5" spans="1:22" x14ac:dyDescent="0.2">
      <c r="A5">
        <v>1</v>
      </c>
      <c r="B5" t="s">
        <v>484</v>
      </c>
      <c r="C5" t="s">
        <v>483</v>
      </c>
      <c r="D5" cm="1">
        <f t="array" aca="1" ref="D5" ca="1">INDEX('Team Summaries'!$C$2:$C$1000,MATCH(1,('Weekly Ideal Results'!$A5='Team Summaries'!$B$2:$B$1000)*('Weekly Ideal Results'!B5='Team Summaries'!$A$2:$A$1000),0))</f>
        <v>115.04</v>
      </c>
      <c r="E5" cm="1">
        <f t="array" aca="1" ref="E5" ca="1">INDEX('Team Summaries'!$C$2:$C$1000,MATCH(1,('Weekly Ideal Results'!$A5='Team Summaries'!$B$2:$B$1000)*('Weekly Ideal Results'!C5='Team Summaries'!$A$2:$A$1000),0))</f>
        <v>110.99999999999999</v>
      </c>
      <c r="F5">
        <f t="shared" ca="1" si="0"/>
        <v>4.0400000000000205</v>
      </c>
      <c r="H5" t="str">
        <f>'Team Summaries'!J6</f>
        <v>Shough and pray</v>
      </c>
      <c r="I5">
        <f t="shared" ca="1" si="1"/>
        <v>3</v>
      </c>
      <c r="J5">
        <f t="shared" ca="1" si="2"/>
        <v>0</v>
      </c>
      <c r="L5">
        <f t="shared" si="5"/>
        <v>3</v>
      </c>
      <c r="M5" t="s">
        <v>308</v>
      </c>
      <c r="N5">
        <f ca="1">VLOOKUP(Table2[[#This Row],[Team]],$H$2:$J$15,2,FALSE)</f>
        <v>2</v>
      </c>
      <c r="O5">
        <f ca="1">VLOOKUP(Table2[[#This Row],[Team]],$H$2:$J$15,3,FALSE)</f>
        <v>1</v>
      </c>
      <c r="P5" s="8">
        <f t="shared" ca="1" si="3"/>
        <v>0.66666666666666663</v>
      </c>
      <c r="R5">
        <f t="shared" ref="R5:R9" si="6">R4+1</f>
        <v>3</v>
      </c>
      <c r="S5" t="s">
        <v>256</v>
      </c>
      <c r="T5">
        <f ca="1">VLOOKUP(Table3[[#This Row],[Team]],$H$2:$J$15,2,FALSE)</f>
        <v>2</v>
      </c>
      <c r="U5">
        <f ca="1">VLOOKUP(Table3[[#This Row],[Team]],$H$2:$J$15,3,FALSE)</f>
        <v>1</v>
      </c>
      <c r="V5" s="8">
        <f t="shared" ca="1" si="4"/>
        <v>0.66666666666666663</v>
      </c>
    </row>
    <row r="6" spans="1:22" x14ac:dyDescent="0.2">
      <c r="A6">
        <v>1</v>
      </c>
      <c r="B6" t="s">
        <v>343</v>
      </c>
      <c r="C6" t="s">
        <v>256</v>
      </c>
      <c r="D6" cm="1">
        <f t="array" aca="1" ref="D6" ca="1">INDEX('Team Summaries'!$C$2:$C$1000,MATCH(1,('Weekly Ideal Results'!$A6='Team Summaries'!$B$2:$B$1000)*('Weekly Ideal Results'!B6='Team Summaries'!$A$2:$A$1000),0))</f>
        <v>92.759999999999991</v>
      </c>
      <c r="E6" cm="1">
        <f t="array" aca="1" ref="E6" ca="1">INDEX('Team Summaries'!$C$2:$C$1000,MATCH(1,('Weekly Ideal Results'!$A6='Team Summaries'!$B$2:$B$1000)*('Weekly Ideal Results'!C6='Team Summaries'!$A$2:$A$1000),0))</f>
        <v>128.52000000000001</v>
      </c>
      <c r="F6">
        <f t="shared" ca="1" si="0"/>
        <v>-35.760000000000019</v>
      </c>
      <c r="H6" t="str">
        <f>'Team Summaries'!J7</f>
        <v>Pleading the Fifth Down</v>
      </c>
      <c r="I6">
        <f t="shared" ca="1" si="1"/>
        <v>2</v>
      </c>
      <c r="J6">
        <f t="shared" ca="1" si="2"/>
        <v>1</v>
      </c>
      <c r="L6">
        <f t="shared" si="5"/>
        <v>4</v>
      </c>
      <c r="M6" t="s">
        <v>484</v>
      </c>
      <c r="N6">
        <f ca="1">VLOOKUP(Table2[[#This Row],[Team]],$H$2:$J$15,2,FALSE)</f>
        <v>2</v>
      </c>
      <c r="O6">
        <f ca="1">VLOOKUP(Table2[[#This Row],[Team]],$H$2:$J$15,3,FALSE)</f>
        <v>1</v>
      </c>
      <c r="P6" s="8">
        <f t="shared" ca="1" si="3"/>
        <v>0.66666666666666663</v>
      </c>
      <c r="R6">
        <f t="shared" si="6"/>
        <v>4</v>
      </c>
      <c r="S6" t="s">
        <v>309</v>
      </c>
      <c r="T6">
        <f ca="1">VLOOKUP(Table3[[#This Row],[Team]],$H$2:$J$15,2,FALSE)</f>
        <v>1</v>
      </c>
      <c r="U6">
        <f ca="1">VLOOKUP(Table3[[#This Row],[Team]],$H$2:$J$15,3,FALSE)</f>
        <v>2</v>
      </c>
      <c r="V6" s="8">
        <f t="shared" ca="1" si="4"/>
        <v>0.33333333333333331</v>
      </c>
    </row>
    <row r="7" spans="1:22" x14ac:dyDescent="0.2">
      <c r="A7">
        <v>1</v>
      </c>
      <c r="B7" t="s">
        <v>494</v>
      </c>
      <c r="C7" t="s">
        <v>308</v>
      </c>
      <c r="D7" cm="1">
        <f t="array" aca="1" ref="D7" ca="1">INDEX('Team Summaries'!$C$2:$C$1000,MATCH(1,('Weekly Ideal Results'!$A7='Team Summaries'!$B$2:$B$1000)*('Weekly Ideal Results'!B7='Team Summaries'!$A$2:$A$1000),0))</f>
        <v>128.89999999999998</v>
      </c>
      <c r="E7" cm="1">
        <f t="array" aca="1" ref="E7" ca="1">INDEX('Team Summaries'!$C$2:$C$1000,MATCH(1,('Weekly Ideal Results'!$A7='Team Summaries'!$B$2:$B$1000)*('Weekly Ideal Results'!C7='Team Summaries'!$A$2:$A$1000),0))</f>
        <v>151.06</v>
      </c>
      <c r="F7">
        <f t="shared" ca="1" si="0"/>
        <v>-22.160000000000025</v>
      </c>
      <c r="H7" t="str">
        <f>'Team Summaries'!J8</f>
        <v>Please Let Me Win IDK what 2 do</v>
      </c>
      <c r="I7">
        <f t="shared" ca="1" si="1"/>
        <v>1</v>
      </c>
      <c r="J7">
        <f t="shared" ca="1" si="2"/>
        <v>2</v>
      </c>
      <c r="L7">
        <f t="shared" si="5"/>
        <v>5</v>
      </c>
      <c r="M7" t="s">
        <v>483</v>
      </c>
      <c r="N7">
        <f ca="1">VLOOKUP(Table2[[#This Row],[Team]],$H$2:$J$15,2,FALSE)</f>
        <v>1</v>
      </c>
      <c r="O7">
        <f ca="1">VLOOKUP(Table2[[#This Row],[Team]],$H$2:$J$15,3,FALSE)</f>
        <v>2</v>
      </c>
      <c r="P7" s="8">
        <f t="shared" ca="1" si="3"/>
        <v>0.33333333333333331</v>
      </c>
      <c r="R7">
        <f t="shared" si="6"/>
        <v>5</v>
      </c>
      <c r="S7" t="s">
        <v>463</v>
      </c>
      <c r="T7">
        <f ca="1">VLOOKUP(Table3[[#This Row],[Team]],$H$2:$J$15,2,FALSE)</f>
        <v>1</v>
      </c>
      <c r="U7">
        <f ca="1">VLOOKUP(Table3[[#This Row],[Team]],$H$2:$J$15,3,FALSE)</f>
        <v>2</v>
      </c>
      <c r="V7" s="8">
        <f t="shared" ca="1" si="4"/>
        <v>0.33333333333333331</v>
      </c>
    </row>
    <row r="8" spans="1:22" x14ac:dyDescent="0.2">
      <c r="A8">
        <v>1</v>
      </c>
      <c r="B8" t="s">
        <v>255</v>
      </c>
      <c r="C8" t="s">
        <v>499</v>
      </c>
      <c r="D8" cm="1">
        <f t="array" aca="1" ref="D8" ca="1">INDEX('Team Summaries'!$C$2:$C$1000,MATCH(1,('Weekly Ideal Results'!$A8='Team Summaries'!$B$2:$B$1000)*('Weekly Ideal Results'!B8='Team Summaries'!$A$2:$A$1000),0))</f>
        <v>101.12</v>
      </c>
      <c r="E8" cm="1">
        <f t="array" aca="1" ref="E8" ca="1">INDEX('Team Summaries'!$C$2:$C$1000,MATCH(1,('Weekly Ideal Results'!$A8='Team Summaries'!$B$2:$B$1000)*('Weekly Ideal Results'!C8='Team Summaries'!$A$2:$A$1000),0))</f>
        <v>145.06</v>
      </c>
      <c r="F8">
        <f t="shared" ca="1" si="0"/>
        <v>-43.94</v>
      </c>
      <c r="H8" t="str">
        <f>'Team Summaries'!J9</f>
        <v>I'm At My Limit</v>
      </c>
      <c r="I8">
        <f t="shared" ca="1" si="1"/>
        <v>1</v>
      </c>
      <c r="J8">
        <f t="shared" ca="1" si="2"/>
        <v>2</v>
      </c>
      <c r="L8">
        <f t="shared" si="5"/>
        <v>6</v>
      </c>
      <c r="M8" t="s">
        <v>468</v>
      </c>
      <c r="N8">
        <f ca="1">VLOOKUP(Table2[[#This Row],[Team]],$H$2:$J$15,2,FALSE)</f>
        <v>1</v>
      </c>
      <c r="O8">
        <f ca="1">VLOOKUP(Table2[[#This Row],[Team]],$H$2:$J$15,3,FALSE)</f>
        <v>2</v>
      </c>
      <c r="P8" s="8">
        <f t="shared" ca="1" si="3"/>
        <v>0.33333333333333331</v>
      </c>
      <c r="R8">
        <f t="shared" si="6"/>
        <v>6</v>
      </c>
      <c r="S8" t="s">
        <v>255</v>
      </c>
      <c r="T8">
        <f ca="1">VLOOKUP(Table3[[#This Row],[Team]],$H$2:$J$15,2,FALSE)</f>
        <v>1</v>
      </c>
      <c r="U8">
        <f ca="1">VLOOKUP(Table3[[#This Row],[Team]],$H$2:$J$15,3,FALSE)</f>
        <v>2</v>
      </c>
      <c r="V8" s="8">
        <f t="shared" ca="1" si="4"/>
        <v>0.33333333333333331</v>
      </c>
    </row>
    <row r="9" spans="1:22" x14ac:dyDescent="0.2">
      <c r="A9">
        <f>A2+1</f>
        <v>2</v>
      </c>
      <c r="B9" t="s">
        <v>309</v>
      </c>
      <c r="C9" t="s">
        <v>469</v>
      </c>
      <c r="D9" cm="1">
        <f t="array" aca="1" ref="D9" ca="1">INDEX('Team Summaries'!$C$2:$C$1000,MATCH(1,('Weekly Ideal Results'!$A9='Team Summaries'!$B$2:$B$1000)*('Weekly Ideal Results'!B9='Team Summaries'!$A$2:$A$1000),0))</f>
        <v>126.5</v>
      </c>
      <c r="E9" cm="1">
        <f t="array" aca="1" ref="E9" ca="1">INDEX('Team Summaries'!$C$2:$C$1000,MATCH(1,('Weekly Ideal Results'!$A9='Team Summaries'!$B$2:$B$1000)*('Weekly Ideal Results'!C9='Team Summaries'!$A$2:$A$1000),0))</f>
        <v>135.18</v>
      </c>
      <c r="F9">
        <f t="shared" ca="1" si="0"/>
        <v>-8.6800000000000068</v>
      </c>
      <c r="H9" t="str">
        <f>'Team Summaries'!J10</f>
        <v>Puka bit my finger</v>
      </c>
      <c r="I9">
        <f t="shared" ca="1" si="1"/>
        <v>2</v>
      </c>
      <c r="J9">
        <f t="shared" ca="1" si="2"/>
        <v>1</v>
      </c>
      <c r="L9">
        <f t="shared" si="5"/>
        <v>7</v>
      </c>
      <c r="M9" t="s">
        <v>494</v>
      </c>
      <c r="N9">
        <f ca="1">VLOOKUP(Table2[[#This Row],[Team]],$H$2:$J$15,2,FALSE)</f>
        <v>0</v>
      </c>
      <c r="O9">
        <f ca="1">VLOOKUP(Table2[[#This Row],[Team]],$H$2:$J$15,3,FALSE)</f>
        <v>3</v>
      </c>
      <c r="P9" s="8">
        <f t="shared" ca="1" si="3"/>
        <v>0</v>
      </c>
      <c r="R9">
        <f t="shared" si="6"/>
        <v>7</v>
      </c>
      <c r="S9" t="s">
        <v>343</v>
      </c>
      <c r="T9">
        <f ca="1">VLOOKUP(Table3[[#This Row],[Team]],$H$2:$J$15,2,FALSE)</f>
        <v>0</v>
      </c>
      <c r="U9">
        <f ca="1">VLOOKUP(Table3[[#This Row],[Team]],$H$2:$J$15,3,FALSE)</f>
        <v>3</v>
      </c>
      <c r="V9" s="8">
        <f t="shared" ca="1" si="4"/>
        <v>0</v>
      </c>
    </row>
    <row r="10" spans="1:22" x14ac:dyDescent="0.2">
      <c r="A10">
        <f t="shared" ref="A10:A22" si="7">A3+1</f>
        <v>2</v>
      </c>
      <c r="B10" t="s">
        <v>545</v>
      </c>
      <c r="C10" t="s">
        <v>484</v>
      </c>
      <c r="D10" cm="1">
        <f t="array" aca="1" ref="D10" ca="1">INDEX('Team Summaries'!$C$2:$C$1000,MATCH(1,('Weekly Ideal Results'!$A10='Team Summaries'!$B$2:$B$1000)*('Weekly Ideal Results'!B10='Team Summaries'!$A$2:$A$1000),0))</f>
        <v>108.21999999999998</v>
      </c>
      <c r="E10" cm="1">
        <f t="array" aca="1" ref="E10" ca="1">INDEX('Team Summaries'!$C$2:$C$1000,MATCH(1,('Weekly Ideal Results'!$A10='Team Summaries'!$B$2:$B$1000)*('Weekly Ideal Results'!C10='Team Summaries'!$A$2:$A$1000),0))</f>
        <v>99.980000000000018</v>
      </c>
      <c r="F10">
        <f t="shared" ca="1" si="0"/>
        <v>8.2399999999999665</v>
      </c>
      <c r="H10" t="str">
        <f>'Team Summaries'!J11</f>
        <v>Lemieuse-bouche sais quoi</v>
      </c>
      <c r="I10">
        <f t="shared" ca="1" si="1"/>
        <v>2</v>
      </c>
      <c r="J10">
        <f t="shared" ca="1" si="2"/>
        <v>1</v>
      </c>
    </row>
    <row r="11" spans="1:22" x14ac:dyDescent="0.2">
      <c r="A11">
        <f t="shared" si="7"/>
        <v>2</v>
      </c>
      <c r="B11" t="s">
        <v>463</v>
      </c>
      <c r="C11" t="s">
        <v>343</v>
      </c>
      <c r="D11" cm="1">
        <f t="array" aca="1" ref="D11" ca="1">INDEX('Team Summaries'!$C$2:$C$1000,MATCH(1,('Weekly Ideal Results'!$A11='Team Summaries'!$B$2:$B$1000)*('Weekly Ideal Results'!B11='Team Summaries'!$A$2:$A$1000),0))</f>
        <v>133.38</v>
      </c>
      <c r="E11" cm="1">
        <f t="array" aca="1" ref="E11" ca="1">INDEX('Team Summaries'!$C$2:$C$1000,MATCH(1,('Weekly Ideal Results'!$A11='Team Summaries'!$B$2:$B$1000)*('Weekly Ideal Results'!C11='Team Summaries'!$A$2:$A$1000),0))</f>
        <v>120.26</v>
      </c>
      <c r="F11">
        <f t="shared" ca="1" si="0"/>
        <v>13.11999999999999</v>
      </c>
      <c r="H11" t="str">
        <f>'Team Summaries'!J12</f>
        <v>the medical tent apparently</v>
      </c>
      <c r="I11">
        <f t="shared" ca="1" si="1"/>
        <v>0</v>
      </c>
      <c r="J11">
        <f t="shared" ca="1" si="2"/>
        <v>3</v>
      </c>
    </row>
    <row r="12" spans="1:22" x14ac:dyDescent="0.2">
      <c r="A12">
        <f t="shared" si="7"/>
        <v>2</v>
      </c>
      <c r="B12" t="s">
        <v>468</v>
      </c>
      <c r="C12" t="s">
        <v>494</v>
      </c>
      <c r="D12" cm="1">
        <f t="array" aca="1" ref="D12" ca="1">INDEX('Team Summaries'!$C$2:$C$1000,MATCH(1,('Weekly Ideal Results'!$A12='Team Summaries'!$B$2:$B$1000)*('Weekly Ideal Results'!B12='Team Summaries'!$A$2:$A$1000),0))</f>
        <v>127.22</v>
      </c>
      <c r="E12" cm="1">
        <f t="array" aca="1" ref="E12" ca="1">INDEX('Team Summaries'!$C$2:$C$1000,MATCH(1,('Weekly Ideal Results'!$A12='Team Summaries'!$B$2:$B$1000)*('Weekly Ideal Results'!C12='Team Summaries'!$A$2:$A$1000),0))</f>
        <v>59.160000000000004</v>
      </c>
      <c r="F12">
        <f t="shared" ca="1" si="0"/>
        <v>68.06</v>
      </c>
      <c r="H12" t="str">
        <f>'Team Summaries'!J13</f>
        <v>your friendly fantasy despot</v>
      </c>
      <c r="I12">
        <f t="shared" ca="1" si="1"/>
        <v>2</v>
      </c>
      <c r="J12">
        <f t="shared" ca="1" si="2"/>
        <v>1</v>
      </c>
    </row>
    <row r="13" spans="1:22" x14ac:dyDescent="0.2">
      <c r="A13">
        <f t="shared" si="7"/>
        <v>2</v>
      </c>
      <c r="B13" t="s">
        <v>478</v>
      </c>
      <c r="C13" t="s">
        <v>255</v>
      </c>
      <c r="D13" cm="1">
        <f t="array" aca="1" ref="D13" ca="1">INDEX('Team Summaries'!$C$2:$C$1000,MATCH(1,('Weekly Ideal Results'!$A13='Team Summaries'!$B$2:$B$1000)*('Weekly Ideal Results'!B13='Team Summaries'!$A$2:$A$1000),0))</f>
        <v>122.62</v>
      </c>
      <c r="E13" cm="1">
        <f t="array" aca="1" ref="E13" ca="1">INDEX('Team Summaries'!$C$2:$C$1000,MATCH(1,('Weekly Ideal Results'!$A13='Team Summaries'!$B$2:$B$1000)*('Weekly Ideal Results'!C13='Team Summaries'!$A$2:$A$1000),0))</f>
        <v>130.35999999999999</v>
      </c>
      <c r="F13">
        <f t="shared" ca="1" si="0"/>
        <v>-7.7399999999999807</v>
      </c>
      <c r="H13" t="str">
        <f>'Team Summaries'!J14</f>
        <v>pretty good team</v>
      </c>
      <c r="I13">
        <f t="shared" ca="1" si="1"/>
        <v>0</v>
      </c>
      <c r="J13">
        <f t="shared" ca="1" si="2"/>
        <v>3</v>
      </c>
    </row>
    <row r="14" spans="1:22" x14ac:dyDescent="0.2">
      <c r="A14">
        <f t="shared" si="7"/>
        <v>2</v>
      </c>
      <c r="B14" t="s">
        <v>483</v>
      </c>
      <c r="C14" t="s">
        <v>308</v>
      </c>
      <c r="D14" cm="1">
        <f t="array" aca="1" ref="D14" ca="1">INDEX('Team Summaries'!$C$2:$C$1000,MATCH(1,('Weekly Ideal Results'!$A14='Team Summaries'!$B$2:$B$1000)*('Weekly Ideal Results'!B14='Team Summaries'!$A$2:$A$1000),0))</f>
        <v>112.67999999999999</v>
      </c>
      <c r="E14" cm="1">
        <f t="array" aca="1" ref="E14" ca="1">INDEX('Team Summaries'!$C$2:$C$1000,MATCH(1,('Weekly Ideal Results'!$A14='Team Summaries'!$B$2:$B$1000)*('Weekly Ideal Results'!C14='Team Summaries'!$A$2:$A$1000),0))</f>
        <v>131.27999999999997</v>
      </c>
      <c r="F14">
        <f t="shared" ca="1" si="0"/>
        <v>-18.59999999999998</v>
      </c>
      <c r="H14" t="str">
        <f>'Team Summaries'!J15</f>
        <v>Juwan's Big Johnson</v>
      </c>
      <c r="I14">
        <f t="shared" ref="I14" ca="1" si="8">COUNTIFS($B$2:$B$1000,H14,$F$2:$F$1000,"&gt;0")+COUNTIFS($C$2:$C$1000,H14,$F$2:$F$1000,"&lt;0")</f>
        <v>2</v>
      </c>
      <c r="J14">
        <f t="shared" ref="J14" ca="1" si="9">COUNTIFS($B$2:$B$1000,H14,$F$2:$F$1000,"&lt;0")+COUNTIFS($C$2:$C$1000,H14,$F$2:$F$1000,"&gt;0")</f>
        <v>1</v>
      </c>
    </row>
    <row r="15" spans="1:22" x14ac:dyDescent="0.2">
      <c r="A15">
        <f t="shared" si="7"/>
        <v>2</v>
      </c>
      <c r="B15" t="s">
        <v>256</v>
      </c>
      <c r="C15" t="s">
        <v>499</v>
      </c>
      <c r="D15" cm="1">
        <f t="array" aca="1" ref="D15" ca="1">INDEX('Team Summaries'!$C$2:$C$1000,MATCH(1,('Weekly Ideal Results'!$A15='Team Summaries'!$B$2:$B$1000)*('Weekly Ideal Results'!B15='Team Summaries'!$A$2:$A$1000),0))</f>
        <v>123.92</v>
      </c>
      <c r="E15" cm="1">
        <f t="array" aca="1" ref="E15" ca="1">INDEX('Team Summaries'!$C$2:$C$1000,MATCH(1,('Weekly Ideal Results'!$A15='Team Summaries'!$B$2:$B$1000)*('Weekly Ideal Results'!C15='Team Summaries'!$A$2:$A$1000),0))</f>
        <v>101.97999999999999</v>
      </c>
      <c r="F15">
        <f t="shared" ca="1" si="0"/>
        <v>21.940000000000012</v>
      </c>
      <c r="H15" t="str">
        <f>'Team Summaries'!J16</f>
        <v>Jungle Drummer</v>
      </c>
      <c r="I15">
        <f t="shared" ref="I15" ca="1" si="10">COUNTIFS($B$2:$B$1000,H15,$F$2:$F$1000,"&gt;0")+COUNTIFS($C$2:$C$1000,H15,$F$2:$F$1000,"&lt;0")</f>
        <v>1</v>
      </c>
      <c r="J15">
        <f t="shared" ref="J15" ca="1" si="11">COUNTIFS($B$2:$B$1000,H15,$F$2:$F$1000,"&lt;0")+COUNTIFS($C$2:$C$1000,H15,$F$2:$F$1000,"&gt;0")</f>
        <v>2</v>
      </c>
    </row>
    <row r="16" spans="1:22" x14ac:dyDescent="0.2">
      <c r="A16">
        <f t="shared" si="7"/>
        <v>3</v>
      </c>
      <c r="B16" t="s">
        <v>343</v>
      </c>
      <c r="C16" t="s">
        <v>484</v>
      </c>
      <c r="D16" cm="1">
        <f t="array" aca="1" ref="D16" ca="1">INDEX('Team Summaries'!$C$2:$C$1000,MATCH(1,('Weekly Ideal Results'!$A16='Team Summaries'!$B$2:$B$1000)*('Weekly Ideal Results'!B16='Team Summaries'!$A$2:$A$1000),0))</f>
        <v>95.04000000000002</v>
      </c>
      <c r="E16" cm="1">
        <f t="array" aca="1" ref="E16" ca="1">INDEX('Team Summaries'!$C$2:$C$1000,MATCH(1,('Weekly Ideal Results'!$A16='Team Summaries'!$B$2:$B$1000)*('Weekly Ideal Results'!C16='Team Summaries'!$A$2:$A$1000),0))</f>
        <v>131.98000000000002</v>
      </c>
      <c r="F16">
        <f t="shared" ca="1" si="0"/>
        <v>-36.94</v>
      </c>
    </row>
    <row r="17" spans="1:6" x14ac:dyDescent="0.2">
      <c r="A17">
        <f t="shared" si="7"/>
        <v>3</v>
      </c>
      <c r="B17" t="s">
        <v>494</v>
      </c>
      <c r="C17" t="s">
        <v>469</v>
      </c>
      <c r="D17" cm="1">
        <f t="array" aca="1" ref="D17" ca="1">INDEX('Team Summaries'!$C$2:$C$1000,MATCH(1,('Weekly Ideal Results'!$A17='Team Summaries'!$B$2:$B$1000)*('Weekly Ideal Results'!B17='Team Summaries'!$A$2:$A$1000),0))</f>
        <v>109.47999999999999</v>
      </c>
      <c r="E17" cm="1">
        <f t="array" aca="1" ref="E17" ca="1">INDEX('Team Summaries'!$C$2:$C$1000,MATCH(1,('Weekly Ideal Results'!$A17='Team Summaries'!$B$2:$B$1000)*('Weekly Ideal Results'!C17='Team Summaries'!$A$2:$A$1000),0))</f>
        <v>132.30000000000001</v>
      </c>
      <c r="F17">
        <f t="shared" ca="1" si="0"/>
        <v>-22.820000000000022</v>
      </c>
    </row>
    <row r="18" spans="1:6" x14ac:dyDescent="0.2">
      <c r="A18">
        <f t="shared" si="7"/>
        <v>3</v>
      </c>
      <c r="B18" t="s">
        <v>255</v>
      </c>
      <c r="C18" t="s">
        <v>309</v>
      </c>
      <c r="D18" cm="1">
        <f t="array" aca="1" ref="D18" ca="1">INDEX('Team Summaries'!$C$2:$C$1000,MATCH(1,('Weekly Ideal Results'!$A18='Team Summaries'!$B$2:$B$1000)*('Weekly Ideal Results'!B18='Team Summaries'!$A$2:$A$1000),0))</f>
        <v>123.84</v>
      </c>
      <c r="E18" cm="1">
        <f t="array" aca="1" ref="E18" ca="1">INDEX('Team Summaries'!$C$2:$C$1000,MATCH(1,('Weekly Ideal Results'!$A18='Team Summaries'!$B$2:$B$1000)*('Weekly Ideal Results'!C18='Team Summaries'!$A$2:$A$1000),0))</f>
        <v>151.88</v>
      </c>
      <c r="F18">
        <f t="shared" ca="1" si="0"/>
        <v>-28.039999999999992</v>
      </c>
    </row>
    <row r="19" spans="1:6" x14ac:dyDescent="0.2">
      <c r="A19">
        <f t="shared" si="7"/>
        <v>3</v>
      </c>
      <c r="B19" t="s">
        <v>308</v>
      </c>
      <c r="C19" t="s">
        <v>545</v>
      </c>
      <c r="D19" cm="1">
        <f t="array" aca="1" ref="D19" ca="1">INDEX('Team Summaries'!$C$2:$C$1000,MATCH(1,('Weekly Ideal Results'!$A19='Team Summaries'!$B$2:$B$1000)*('Weekly Ideal Results'!B19='Team Summaries'!$A$2:$A$1000),0))</f>
        <v>88.18</v>
      </c>
      <c r="E19" cm="1">
        <f t="array" aca="1" ref="E19" ca="1">INDEX('Team Summaries'!$C$2:$C$1000,MATCH(1,('Weekly Ideal Results'!$A19='Team Summaries'!$B$2:$B$1000)*('Weekly Ideal Results'!C19='Team Summaries'!$A$2:$A$1000),0))</f>
        <v>93.179999999999993</v>
      </c>
      <c r="F19">
        <f t="shared" ca="1" si="0"/>
        <v>-4.9999999999999858</v>
      </c>
    </row>
    <row r="20" spans="1:6" x14ac:dyDescent="0.2">
      <c r="A20">
        <f t="shared" si="7"/>
        <v>3</v>
      </c>
      <c r="B20" t="s">
        <v>499</v>
      </c>
      <c r="C20" t="s">
        <v>463</v>
      </c>
      <c r="D20" cm="1">
        <f t="array" aca="1" ref="D20" ca="1">INDEX('Team Summaries'!$C$2:$C$1000,MATCH(1,('Weekly Ideal Results'!$A20='Team Summaries'!$B$2:$B$1000)*('Weekly Ideal Results'!B20='Team Summaries'!$A$2:$A$1000),0))</f>
        <v>141.34</v>
      </c>
      <c r="E20" cm="1">
        <f t="array" aca="1" ref="E20" ca="1">INDEX('Team Summaries'!$C$2:$C$1000,MATCH(1,('Weekly Ideal Results'!$A20='Team Summaries'!$B$2:$B$1000)*('Weekly Ideal Results'!C20='Team Summaries'!$A$2:$A$1000),0))</f>
        <v>110.48000000000002</v>
      </c>
      <c r="F20">
        <f t="shared" ca="1" si="0"/>
        <v>30.859999999999985</v>
      </c>
    </row>
    <row r="21" spans="1:6" x14ac:dyDescent="0.2">
      <c r="A21">
        <f t="shared" si="7"/>
        <v>3</v>
      </c>
      <c r="B21" t="s">
        <v>483</v>
      </c>
      <c r="C21" t="s">
        <v>468</v>
      </c>
      <c r="D21" cm="1">
        <f t="array" aca="1" ref="D21" ca="1">INDEX('Team Summaries'!$C$2:$C$1000,MATCH(1,('Weekly Ideal Results'!$A21='Team Summaries'!$B$2:$B$1000)*('Weekly Ideal Results'!B21='Team Summaries'!$A$2:$A$1000),0))</f>
        <v>149.16</v>
      </c>
      <c r="E21" cm="1">
        <f t="array" aca="1" ref="E21" ca="1">INDEX('Team Summaries'!$C$2:$C$1000,MATCH(1,('Weekly Ideal Results'!$A21='Team Summaries'!$B$2:$B$1000)*('Weekly Ideal Results'!C21='Team Summaries'!$A$2:$A$1000),0))</f>
        <v>97.059999999999988</v>
      </c>
      <c r="F21">
        <f t="shared" ca="1" si="0"/>
        <v>52.100000000000009</v>
      </c>
    </row>
    <row r="22" spans="1:6" x14ac:dyDescent="0.2">
      <c r="A22">
        <f t="shared" si="7"/>
        <v>3</v>
      </c>
      <c r="B22" t="s">
        <v>256</v>
      </c>
      <c r="C22" t="s">
        <v>478</v>
      </c>
      <c r="D22" cm="1">
        <f t="array" aca="1" ref="D22" ca="1">INDEX('Team Summaries'!$C$2:$C$1000,MATCH(1,('Weekly Ideal Results'!$A22='Team Summaries'!$B$2:$B$1000)*('Weekly Ideal Results'!B22='Team Summaries'!$A$2:$A$1000),0))</f>
        <v>81.06</v>
      </c>
      <c r="E22" cm="1">
        <f t="array" aca="1" ref="E22" ca="1">INDEX('Team Summaries'!$C$2:$C$1000,MATCH(1,('Weekly Ideal Results'!$A22='Team Summaries'!$B$2:$B$1000)*('Weekly Ideal Results'!C22='Team Summaries'!$A$2:$A$1000),0))</f>
        <v>137.64000000000001</v>
      </c>
      <c r="F22">
        <f t="shared" ca="1" si="0"/>
        <v>-56.580000000000013</v>
      </c>
    </row>
  </sheetData>
  <conditionalFormatting sqref="F2:F120">
    <cfRule type="cellIs" dxfId="21" priority="1" operator="lessThan">
      <formula>0</formula>
    </cfRule>
    <cfRule type="cellIs" dxfId="20" priority="2" operator="greaterThan">
      <formula>0</formula>
    </cfRule>
  </conditionalFormatting>
  <dataValidations count="1">
    <dataValidation type="list" allowBlank="1" showInputMessage="1" showErrorMessage="1" sqref="B2:C120" xr:uid="{34C48D95-398E-194D-A752-1A828DE3DC6F}">
      <formula1>$H$2:$H$15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52B98-1210-BA46-A14F-4E3F61834AAE}">
  <sheetPr codeName="Sheet5"/>
  <dimension ref="A1:Z120"/>
  <sheetViews>
    <sheetView workbookViewId="0">
      <selection activeCell="G26" sqref="G26"/>
    </sheetView>
  </sheetViews>
  <sheetFormatPr baseColWidth="10" defaultRowHeight="16" x14ac:dyDescent="0.2"/>
  <cols>
    <col min="1" max="1" width="5.83203125" bestFit="1" customWidth="1"/>
    <col min="2" max="3" width="29.6640625" bestFit="1" customWidth="1"/>
    <col min="4" max="5" width="8.6640625" bestFit="1" customWidth="1"/>
    <col min="7" max="7" width="12.6640625" customWidth="1"/>
    <col min="8" max="8" width="12.1640625" bestFit="1" customWidth="1"/>
    <col min="9" max="10" width="12.1640625" customWidth="1"/>
    <col min="12" max="12" width="29.6640625" bestFit="1" customWidth="1"/>
    <col min="17" max="17" width="26.1640625" bestFit="1" customWidth="1"/>
    <col min="23" max="23" width="29.6640625" bestFit="1" customWidth="1"/>
  </cols>
  <sheetData>
    <row r="1" spans="1:26" x14ac:dyDescent="0.2">
      <c r="A1" t="s">
        <v>131</v>
      </c>
      <c r="B1" t="s">
        <v>172</v>
      </c>
      <c r="C1" t="s">
        <v>173</v>
      </c>
      <c r="D1" t="s">
        <v>174</v>
      </c>
      <c r="E1" t="s">
        <v>175</v>
      </c>
      <c r="F1" t="s">
        <v>176</v>
      </c>
      <c r="G1" t="s">
        <v>273</v>
      </c>
      <c r="H1" t="s">
        <v>274</v>
      </c>
      <c r="L1" t="s">
        <v>121</v>
      </c>
      <c r="M1" t="s">
        <v>177</v>
      </c>
      <c r="N1" t="s">
        <v>178</v>
      </c>
      <c r="P1" s="5" t="s">
        <v>179</v>
      </c>
      <c r="V1" s="5" t="s">
        <v>183</v>
      </c>
    </row>
    <row r="2" spans="1:26" x14ac:dyDescent="0.2">
      <c r="A2">
        <f>'Weekly Ideal Results'!A2</f>
        <v>1</v>
      </c>
      <c r="B2" t="str">
        <f>'Weekly Ideal Results'!B2</f>
        <v>Picken Dis Nose</v>
      </c>
      <c r="C2" t="str">
        <f>'Weekly Ideal Results'!C2</f>
        <v>Coach Carlt</v>
      </c>
      <c r="D2" cm="1">
        <f t="array" aca="1" ref="D2" ca="1">INDEX('Team Summaries'!$D$2:$D$1000,MATCH(1,('Weekly Actual Results'!$A2='Team Summaries'!$B$2:$B$1000)*('Weekly Actual Results'!B2='Team Summaries'!$A$2:$A$1000),0))</f>
        <v>82.800000000000011</v>
      </c>
      <c r="E2" cm="1">
        <f t="array" aca="1" ref="E2" ca="1">INDEX('Team Summaries'!$D$2:$D$1000,MATCH(1,('Weekly Actual Results'!$A2='Team Summaries'!$B$2:$B$1000)*('Weekly Actual Results'!C2='Team Summaries'!$A$2:$A$1000),0))</f>
        <v>128.26</v>
      </c>
      <c r="F2">
        <f t="shared" ref="F2:F22" ca="1" si="0">D2-E2</f>
        <v>-45.45999999999998</v>
      </c>
      <c r="G2" s="11" cm="1">
        <f t="array" aca="1" ref="G2" ca="1">D2/MEDIAN(_xlfn.VSTACK(_xlfn._xlws.FILTER($D$2:$D$1000,$B$2:$B$1000=B2),_xlfn._xlws.FILTER($E$2:$E$1000,$C$2:$C$1000=B2)))</f>
        <v>0.91511936339522537</v>
      </c>
      <c r="H2" s="11" cm="1">
        <f t="array" aca="1" ref="H2" ca="1">E2/MEDIAN(_xlfn.VSTACK(_xlfn._xlws.FILTER($E$2:$E$1000,$C$2:$C$1000=C2),_xlfn._xlws.FILTER($D$2:$D$1000,$B$2:$B$1000=C2)))</f>
        <v>1.2569580556644453</v>
      </c>
      <c r="I2" s="14"/>
      <c r="J2" s="11"/>
      <c r="K2" s="11"/>
      <c r="L2" t="str">
        <f>'Weekly Ideal Results'!H2</f>
        <v>Coach Carlt</v>
      </c>
      <c r="M2">
        <f ca="1">COUNTIFS($B$2:$B$1000,L2,$F$2:$F$1000,"&gt;0")+COUNTIFS($C$2:$C$1000,L2,$F$2:$F$1000,"&lt;0")</f>
        <v>3</v>
      </c>
      <c r="N2">
        <f ca="1">COUNTIFS($B$2:$B$1000,L2,$F$2:$F$1000,"&lt;0")+COUNTIFS($C$2:$C$1000,L2,$F$2:$F$1000,"&gt;0")</f>
        <v>0</v>
      </c>
      <c r="P2" t="s">
        <v>171</v>
      </c>
      <c r="Q2" t="s">
        <v>121</v>
      </c>
      <c r="R2" t="s">
        <v>180</v>
      </c>
      <c r="S2" t="s">
        <v>181</v>
      </c>
      <c r="T2" t="s">
        <v>182</v>
      </c>
      <c r="V2" t="s">
        <v>171</v>
      </c>
      <c r="W2" t="s">
        <v>121</v>
      </c>
      <c r="X2" t="s">
        <v>180</v>
      </c>
      <c r="Y2" t="s">
        <v>181</v>
      </c>
      <c r="Z2" t="s">
        <v>182</v>
      </c>
    </row>
    <row r="3" spans="1:26" x14ac:dyDescent="0.2">
      <c r="A3">
        <f>'Weekly Ideal Results'!A3</f>
        <v>1</v>
      </c>
      <c r="B3" t="str">
        <f>'Weekly Ideal Results'!B3</f>
        <v>Shough and pray</v>
      </c>
      <c r="C3" t="str">
        <f>'Weekly Ideal Results'!C3</f>
        <v>The Strib Club</v>
      </c>
      <c r="D3" cm="1">
        <f t="array" aca="1" ref="D3" ca="1">INDEX('Team Summaries'!$D$2:$D$1000,MATCH(1,('Weekly Actual Results'!$A3='Team Summaries'!$B$2:$B$1000)*('Weekly Actual Results'!B3='Team Summaries'!$A$2:$A$1000),0))</f>
        <v>151.6</v>
      </c>
      <c r="E3" cm="1">
        <f t="array" aca="1" ref="E3" ca="1">INDEX('Team Summaries'!$D$2:$D$1000,MATCH(1,('Weekly Actual Results'!$A3='Team Summaries'!$B$2:$B$1000)*('Weekly Actual Results'!C3='Team Summaries'!$A$2:$A$1000),0))</f>
        <v>88.46</v>
      </c>
      <c r="F3">
        <f t="shared" ca="1" si="0"/>
        <v>63.14</v>
      </c>
      <c r="G3" s="11" cm="1">
        <f t="array" aca="1" ref="G3" ca="1">D3/MEDIAN(_xlfn.VSTACK(_xlfn._xlws.FILTER($D$2:$D$1000,$B$2:$B$1000=B3),_xlfn._xlws.FILTER($E$2:$E$1000,$C$2:$C$1000=B3)))</f>
        <v>1.1214676727326527</v>
      </c>
      <c r="H3" s="11" cm="1">
        <f t="array" aca="1" ref="H3" ca="1">E3/MEDIAN(_xlfn.VSTACK(_xlfn._xlws.FILTER($E$2:$E$1000,$C$2:$C$1000=C3),_xlfn._xlws.FILTER($D$2:$D$1000,$B$2:$B$1000=C3)))</f>
        <v>1</v>
      </c>
      <c r="I3" s="14"/>
      <c r="J3" s="11"/>
      <c r="K3" s="11"/>
      <c r="L3" t="str">
        <f>'Weekly Ideal Results'!H3</f>
        <v>Picken Dis Nose</v>
      </c>
      <c r="M3">
        <f t="shared" ref="M3:M13" ca="1" si="1">COUNTIFS($B$2:$B$1000,L3,$F$2:$F$1000,"&gt;0")+COUNTIFS($C$2:$C$1000,L3,$F$2:$F$1000,"&lt;0")</f>
        <v>1</v>
      </c>
      <c r="N3">
        <f t="shared" ref="N3:N13" ca="1" si="2">COUNTIFS($B$2:$B$1000,L3,$F$2:$F$1000,"&lt;0")+COUNTIFS($C$2:$C$1000,L3,$F$2:$F$1000,"&gt;0")</f>
        <v>2</v>
      </c>
      <c r="P3">
        <v>1</v>
      </c>
      <c r="Q3" t="s">
        <v>469</v>
      </c>
      <c r="R3">
        <f ca="1">VLOOKUP(Table26[[#This Row],[Team]],$L$2:$N$15,2,FALSE)</f>
        <v>3</v>
      </c>
      <c r="S3">
        <f ca="1">VLOOKUP(Table26[[#This Row],[Team]],$L$2:$N$15,3,FALSE)</f>
        <v>0</v>
      </c>
      <c r="T3" s="8">
        <f t="shared" ref="T3:T9" ca="1" si="3">R3/SUM(R3,S3)</f>
        <v>1</v>
      </c>
      <c r="V3">
        <v>1</v>
      </c>
      <c r="W3" t="s">
        <v>478</v>
      </c>
      <c r="X3">
        <f ca="1">VLOOKUP(Table37[[#This Row],[Team]],$L$2:$N$15,2,FALSE)</f>
        <v>2</v>
      </c>
      <c r="Y3">
        <f ca="1">VLOOKUP(Table37[[#This Row],[Team]],$L$2:$N$15,3,FALSE)</f>
        <v>1</v>
      </c>
      <c r="Z3" s="8">
        <f t="shared" ref="Z3:Z9" ca="1" si="4">X3/SUM(X3,Y3)</f>
        <v>0.66666666666666663</v>
      </c>
    </row>
    <row r="4" spans="1:26" x14ac:dyDescent="0.2">
      <c r="A4">
        <f>'Weekly Ideal Results'!A4</f>
        <v>1</v>
      </c>
      <c r="B4" t="str">
        <f>'Weekly Ideal Results'!B4</f>
        <v>Please Let Me Win IDK what 2 do</v>
      </c>
      <c r="C4" t="str">
        <f>'Weekly Ideal Results'!C4</f>
        <v>Pleading the Fifth Down</v>
      </c>
      <c r="D4" cm="1">
        <f t="array" aca="1" ref="D4" ca="1">INDEX('Team Summaries'!$D$2:$D$1000,MATCH(1,('Weekly Actual Results'!$A4='Team Summaries'!$B$2:$B$1000)*('Weekly Actual Results'!B4='Team Summaries'!$A$2:$A$1000),0))</f>
        <v>144.5</v>
      </c>
      <c r="E4" cm="1">
        <f t="array" aca="1" ref="E4" ca="1">INDEX('Team Summaries'!$D$2:$D$1000,MATCH(1,('Weekly Actual Results'!$A4='Team Summaries'!$B$2:$B$1000)*('Weekly Actual Results'!C4='Team Summaries'!$A$2:$A$1000),0))</f>
        <v>136.63999999999999</v>
      </c>
      <c r="F4">
        <f t="shared" ca="1" si="0"/>
        <v>7.8600000000000136</v>
      </c>
      <c r="G4" s="11" cm="1">
        <f t="array" aca="1" ref="G4" ca="1">D4/MEDIAN(_xlfn.VSTACK(_xlfn._xlws.FILTER($D$2:$D$1000,$B$2:$B$1000=B4),_xlfn._xlws.FILTER($E$2:$E$1000,$C$2:$C$1000=B4)))</f>
        <v>1</v>
      </c>
      <c r="H4" s="11" cm="1">
        <f t="array" aca="1" ref="H4" ca="1">E4/MEDIAN(_xlfn.VSTACK(_xlfn._xlws.FILTER($E$2:$E$1000,$C$2:$C$1000=C4),_xlfn._xlws.FILTER($D$2:$D$1000,$B$2:$B$1000=C4)))</f>
        <v>1.215225898256848</v>
      </c>
      <c r="I4" s="14"/>
      <c r="J4" s="11"/>
      <c r="K4" s="11"/>
      <c r="L4" t="str">
        <f>'Weekly Ideal Results'!H4</f>
        <v>The Strib Club</v>
      </c>
      <c r="M4">
        <f t="shared" ca="1" si="1"/>
        <v>1</v>
      </c>
      <c r="N4">
        <f t="shared" ca="1" si="2"/>
        <v>2</v>
      </c>
      <c r="P4">
        <f t="shared" ref="P4:P9" si="5">P3+1</f>
        <v>2</v>
      </c>
      <c r="Q4" t="s">
        <v>545</v>
      </c>
      <c r="R4">
        <f ca="1">VLOOKUP(Table26[[#This Row],[Team]],$L$2:$N$15,2,FALSE)</f>
        <v>3</v>
      </c>
      <c r="S4">
        <f ca="1">VLOOKUP(Table26[[#This Row],[Team]],$L$2:$N$15,3,FALSE)</f>
        <v>0</v>
      </c>
      <c r="T4" s="8">
        <f t="shared" ca="1" si="3"/>
        <v>1</v>
      </c>
      <c r="V4">
        <f t="shared" ref="V4:V9" si="6">V3+1</f>
        <v>2</v>
      </c>
      <c r="W4" t="s">
        <v>499</v>
      </c>
      <c r="X4">
        <f ca="1">VLOOKUP(Table37[[#This Row],[Team]],$L$2:$N$15,2,FALSE)</f>
        <v>2</v>
      </c>
      <c r="Y4">
        <f ca="1">VLOOKUP(Table37[[#This Row],[Team]],$L$2:$N$15,3,FALSE)</f>
        <v>1</v>
      </c>
      <c r="Z4" s="8">
        <f t="shared" ca="1" si="4"/>
        <v>0.66666666666666663</v>
      </c>
    </row>
    <row r="5" spans="1:26" x14ac:dyDescent="0.2">
      <c r="A5">
        <f>'Weekly Ideal Results'!A5</f>
        <v>1</v>
      </c>
      <c r="B5" t="str">
        <f>'Weekly Ideal Results'!B5</f>
        <v>Puka bit my finger</v>
      </c>
      <c r="C5" t="str">
        <f>'Weekly Ideal Results'!C5</f>
        <v>I'm At My Limit</v>
      </c>
      <c r="D5" cm="1">
        <f t="array" aca="1" ref="D5" ca="1">INDEX('Team Summaries'!$D$2:$D$1000,MATCH(1,('Weekly Actual Results'!$A5='Team Summaries'!$B$2:$B$1000)*('Weekly Actual Results'!B5='Team Summaries'!$A$2:$A$1000),0))</f>
        <v>80.56</v>
      </c>
      <c r="E5" cm="1">
        <f t="array" aca="1" ref="E5" ca="1">INDEX('Team Summaries'!$D$2:$D$1000,MATCH(1,('Weekly Actual Results'!$A5='Team Summaries'!$B$2:$B$1000)*('Weekly Actual Results'!C5='Team Summaries'!$A$2:$A$1000),0))</f>
        <v>110.99999999999999</v>
      </c>
      <c r="F5">
        <f t="shared" ca="1" si="0"/>
        <v>-30.439999999999984</v>
      </c>
      <c r="G5" s="11" cm="1">
        <f t="array" aca="1" ref="G5" ca="1">D5/MEDIAN(_xlfn.VSTACK(_xlfn._xlws.FILTER($D$2:$D$1000,$B$2:$B$1000=B5),_xlfn._xlws.FILTER($E$2:$E$1000,$C$2:$C$1000=B5)))</f>
        <v>1</v>
      </c>
      <c r="H5" s="11" cm="1">
        <f t="array" aca="1" ref="H5" ca="1">E5/MEDIAN(_xlfn.VSTACK(_xlfn._xlws.FILTER($E$2:$E$1000,$C$2:$C$1000=C5),_xlfn._xlws.FILTER($D$2:$D$1000,$B$2:$B$1000=C5)))</f>
        <v>1</v>
      </c>
      <c r="I5" s="14"/>
      <c r="J5" s="11"/>
      <c r="K5" s="11"/>
      <c r="L5" t="str">
        <f>'Weekly Ideal Results'!H5</f>
        <v>Shough and pray</v>
      </c>
      <c r="M5">
        <f t="shared" ca="1" si="1"/>
        <v>3</v>
      </c>
      <c r="N5">
        <f t="shared" ca="1" si="2"/>
        <v>0</v>
      </c>
      <c r="P5">
        <f t="shared" si="5"/>
        <v>3</v>
      </c>
      <c r="Q5" t="s">
        <v>308</v>
      </c>
      <c r="R5">
        <f ca="1">VLOOKUP(Table26[[#This Row],[Team]],$L$2:$N$15,2,FALSE)</f>
        <v>2</v>
      </c>
      <c r="S5">
        <f ca="1">VLOOKUP(Table26[[#This Row],[Team]],$L$2:$N$15,3,FALSE)</f>
        <v>1</v>
      </c>
      <c r="T5" s="8">
        <f t="shared" ca="1" si="3"/>
        <v>0.66666666666666663</v>
      </c>
      <c r="V5">
        <f t="shared" si="6"/>
        <v>3</v>
      </c>
      <c r="W5" t="s">
        <v>256</v>
      </c>
      <c r="X5">
        <f ca="1">VLOOKUP(Table37[[#This Row],[Team]],$L$2:$N$15,2,FALSE)</f>
        <v>2</v>
      </c>
      <c r="Y5">
        <f ca="1">VLOOKUP(Table37[[#This Row],[Team]],$L$2:$N$15,3,FALSE)</f>
        <v>1</v>
      </c>
      <c r="Z5" s="8">
        <f t="shared" ca="1" si="4"/>
        <v>0.66666666666666663</v>
      </c>
    </row>
    <row r="6" spans="1:26" x14ac:dyDescent="0.2">
      <c r="A6">
        <f>'Weekly Ideal Results'!A6</f>
        <v>1</v>
      </c>
      <c r="B6" t="str">
        <f>'Weekly Ideal Results'!B6</f>
        <v>the medical tent apparently</v>
      </c>
      <c r="C6" t="str">
        <f>'Weekly Ideal Results'!C6</f>
        <v>Lemieuse-bouche sais quoi</v>
      </c>
      <c r="D6" cm="1">
        <f t="array" aca="1" ref="D6" ca="1">INDEX('Team Summaries'!$D$2:$D$1000,MATCH(1,('Weekly Actual Results'!$A6='Team Summaries'!$B$2:$B$1000)*('Weekly Actual Results'!B6='Team Summaries'!$A$2:$A$1000),0))</f>
        <v>87.259999999999991</v>
      </c>
      <c r="E6" cm="1">
        <f t="array" aca="1" ref="E6" ca="1">INDEX('Team Summaries'!$D$2:$D$1000,MATCH(1,('Weekly Actual Results'!$A6='Team Summaries'!$B$2:$B$1000)*('Weekly Actual Results'!C6='Team Summaries'!$A$2:$A$1000),0))</f>
        <v>122.52000000000001</v>
      </c>
      <c r="F6">
        <f t="shared" ca="1" si="0"/>
        <v>-35.260000000000019</v>
      </c>
      <c r="G6" s="11" cm="1">
        <f t="array" aca="1" ref="G6" ca="1">D6/MEDIAN(_xlfn.VSTACK(_xlfn._xlws.FILTER($D$2:$D$1000,$B$2:$B$1000=B6),_xlfn._xlws.FILTER($E$2:$E$1000,$C$2:$C$1000=B6)))</f>
        <v>0.94539544962080146</v>
      </c>
      <c r="H6" s="11" cm="1">
        <f t="array" aca="1" ref="H6" ca="1">E6/MEDIAN(_xlfn.VSTACK(_xlfn._xlws.FILTER($E$2:$E$1000,$C$2:$C$1000=C6),_xlfn._xlws.FILTER($D$2:$D$1000,$B$2:$B$1000=C6)))</f>
        <v>1.0478959972630859</v>
      </c>
      <c r="I6" s="14"/>
      <c r="J6" s="11"/>
      <c r="K6" s="11"/>
      <c r="L6" t="str">
        <f>'Weekly Ideal Results'!H6</f>
        <v>Pleading the Fifth Down</v>
      </c>
      <c r="M6">
        <f t="shared" ca="1" si="1"/>
        <v>2</v>
      </c>
      <c r="N6">
        <f t="shared" ca="1" si="2"/>
        <v>1</v>
      </c>
      <c r="P6">
        <f t="shared" si="5"/>
        <v>4</v>
      </c>
      <c r="Q6" t="s">
        <v>483</v>
      </c>
      <c r="R6">
        <f ca="1">VLOOKUP(Table26[[#This Row],[Team]],$L$2:$N$15,2,FALSE)</f>
        <v>2</v>
      </c>
      <c r="S6">
        <f ca="1">VLOOKUP(Table26[[#This Row],[Team]],$L$2:$N$15,3,FALSE)</f>
        <v>1</v>
      </c>
      <c r="T6" s="8">
        <f t="shared" ca="1" si="3"/>
        <v>0.66666666666666663</v>
      </c>
      <c r="V6">
        <f t="shared" si="6"/>
        <v>4</v>
      </c>
      <c r="W6" t="s">
        <v>309</v>
      </c>
      <c r="X6">
        <f ca="1">VLOOKUP(Table37[[#This Row],[Team]],$L$2:$N$15,2,FALSE)</f>
        <v>2</v>
      </c>
      <c r="Y6">
        <f ca="1">VLOOKUP(Table37[[#This Row],[Team]],$L$2:$N$15,3,FALSE)</f>
        <v>1</v>
      </c>
      <c r="Z6" s="8">
        <f t="shared" ca="1" si="4"/>
        <v>0.66666666666666663</v>
      </c>
    </row>
    <row r="7" spans="1:26" x14ac:dyDescent="0.2">
      <c r="A7">
        <f>'Weekly Ideal Results'!A7</f>
        <v>1</v>
      </c>
      <c r="B7" t="str">
        <f>'Weekly Ideal Results'!B7</f>
        <v>pretty good team</v>
      </c>
      <c r="C7" t="str">
        <f>'Weekly Ideal Results'!C7</f>
        <v>your friendly fantasy despot</v>
      </c>
      <c r="D7" cm="1">
        <f t="array" aca="1" ref="D7" ca="1">INDEX('Team Summaries'!$D$2:$D$1000,MATCH(1,('Weekly Actual Results'!$A7='Team Summaries'!$B$2:$B$1000)*('Weekly Actual Results'!B7='Team Summaries'!$A$2:$A$1000),0))</f>
        <v>110.4</v>
      </c>
      <c r="E7" cm="1">
        <f t="array" aca="1" ref="E7" ca="1">INDEX('Team Summaries'!$D$2:$D$1000,MATCH(1,('Weekly Actual Results'!$A7='Team Summaries'!$B$2:$B$1000)*('Weekly Actual Results'!C7='Team Summaries'!$A$2:$A$1000),0))</f>
        <v>137.48000000000002</v>
      </c>
      <c r="F7">
        <f t="shared" ca="1" si="0"/>
        <v>-27.080000000000013</v>
      </c>
      <c r="G7" s="11" cm="1">
        <f t="array" aca="1" ref="G7" ca="1">D7/MEDIAN(_xlfn.VSTACK(_xlfn._xlws.FILTER($D$2:$D$1000,$B$2:$B$1000=B7),_xlfn._xlws.FILTER($E$2:$E$1000,$C$2:$C$1000=B7)))</f>
        <v>1.0281244179549265</v>
      </c>
      <c r="H7" s="11" cm="1">
        <f t="array" aca="1" ref="H7" ca="1">E7/MEDIAN(_xlfn.VSTACK(_xlfn._xlws.FILTER($E$2:$E$1000,$C$2:$C$1000=C7),_xlfn._xlws.FILTER($D$2:$D$1000,$B$2:$B$1000=C7)))</f>
        <v>1.0472273004265695</v>
      </c>
      <c r="I7" s="14"/>
      <c r="J7" s="11"/>
      <c r="K7" s="11"/>
      <c r="L7" t="str">
        <f>'Weekly Ideal Results'!H7</f>
        <v>Please Let Me Win IDK what 2 do</v>
      </c>
      <c r="M7">
        <f t="shared" ca="1" si="1"/>
        <v>2</v>
      </c>
      <c r="N7">
        <f t="shared" ca="1" si="2"/>
        <v>1</v>
      </c>
      <c r="P7">
        <f t="shared" si="5"/>
        <v>5</v>
      </c>
      <c r="Q7" t="s">
        <v>484</v>
      </c>
      <c r="R7">
        <f ca="1">VLOOKUP(Table26[[#This Row],[Team]],$L$2:$N$15,2,FALSE)</f>
        <v>1</v>
      </c>
      <c r="S7">
        <f ca="1">VLOOKUP(Table26[[#This Row],[Team]],$L$2:$N$15,3,FALSE)</f>
        <v>2</v>
      </c>
      <c r="T7" s="8">
        <f t="shared" ca="1" si="3"/>
        <v>0.33333333333333331</v>
      </c>
      <c r="V7">
        <f t="shared" si="6"/>
        <v>5</v>
      </c>
      <c r="W7" t="s">
        <v>463</v>
      </c>
      <c r="X7">
        <f ca="1">VLOOKUP(Table37[[#This Row],[Team]],$L$2:$N$15,2,FALSE)</f>
        <v>1</v>
      </c>
      <c r="Y7">
        <f ca="1">VLOOKUP(Table37[[#This Row],[Team]],$L$2:$N$15,3,FALSE)</f>
        <v>2</v>
      </c>
      <c r="Z7" s="8">
        <f t="shared" ca="1" si="4"/>
        <v>0.33333333333333331</v>
      </c>
    </row>
    <row r="8" spans="1:26" x14ac:dyDescent="0.2">
      <c r="A8">
        <f>'Weekly Ideal Results'!A8</f>
        <v>1</v>
      </c>
      <c r="B8" t="str">
        <f>'Weekly Ideal Results'!B8</f>
        <v>Jungle Drummer</v>
      </c>
      <c r="C8" t="str">
        <f>'Weekly Ideal Results'!C8</f>
        <v>Juwan's Big Johnson</v>
      </c>
      <c r="D8" cm="1">
        <f t="array" aca="1" ref="D8" ca="1">INDEX('Team Summaries'!$D$2:$D$1000,MATCH(1,('Weekly Actual Results'!$A8='Team Summaries'!$B$2:$B$1000)*('Weekly Actual Results'!B8='Team Summaries'!$A$2:$A$1000),0))</f>
        <v>90.820000000000022</v>
      </c>
      <c r="E8" cm="1">
        <f t="array" aca="1" ref="E8" ca="1">INDEX('Team Summaries'!$D$2:$D$1000,MATCH(1,('Weekly Actual Results'!$A8='Team Summaries'!$B$2:$B$1000)*('Weekly Actual Results'!C8='Team Summaries'!$A$2:$A$1000),0))</f>
        <v>144.16</v>
      </c>
      <c r="F8">
        <f t="shared" ca="1" si="0"/>
        <v>-53.339999999999975</v>
      </c>
      <c r="G8" s="11" cm="1">
        <f t="array" aca="1" ref="G8" ca="1">D8/MEDIAN(_xlfn.VSTACK(_xlfn._xlws.FILTER($D$2:$D$1000,$B$2:$B$1000=B8),_xlfn._xlws.FILTER($E$2:$E$1000,$C$2:$C$1000=B8)))</f>
        <v>0.84045900425689446</v>
      </c>
      <c r="H8" s="11" cm="1">
        <f t="array" aca="1" ref="H8" ca="1">E8/MEDIAN(_xlfn.VSTACK(_xlfn._xlws.FILTER($E$2:$E$1000,$C$2:$C$1000=C8),_xlfn._xlws.FILTER($D$2:$D$1000,$B$2:$B$1000=C8)))</f>
        <v>1.2296144660525419</v>
      </c>
      <c r="I8" s="14"/>
      <c r="J8" s="11"/>
      <c r="K8" s="11"/>
      <c r="L8" t="str">
        <f>'Weekly Ideal Results'!H8</f>
        <v>I'm At My Limit</v>
      </c>
      <c r="M8">
        <f t="shared" ca="1" si="1"/>
        <v>2</v>
      </c>
      <c r="N8">
        <f t="shared" ca="1" si="2"/>
        <v>1</v>
      </c>
      <c r="P8">
        <f t="shared" si="5"/>
        <v>6</v>
      </c>
      <c r="Q8" t="s">
        <v>468</v>
      </c>
      <c r="R8">
        <f ca="1">VLOOKUP(Table26[[#This Row],[Team]],$L$2:$N$15,2,FALSE)</f>
        <v>1</v>
      </c>
      <c r="S8">
        <f ca="1">VLOOKUP(Table26[[#This Row],[Team]],$L$2:$N$15,3,FALSE)</f>
        <v>2</v>
      </c>
      <c r="T8" s="8">
        <f t="shared" ca="1" si="3"/>
        <v>0.33333333333333331</v>
      </c>
      <c r="V8">
        <f t="shared" si="6"/>
        <v>6</v>
      </c>
      <c r="W8" t="s">
        <v>255</v>
      </c>
      <c r="X8">
        <f ca="1">VLOOKUP(Table37[[#This Row],[Team]],$L$2:$N$15,2,FALSE)</f>
        <v>0</v>
      </c>
      <c r="Y8">
        <f ca="1">VLOOKUP(Table37[[#This Row],[Team]],$L$2:$N$15,3,FALSE)</f>
        <v>3</v>
      </c>
      <c r="Z8" s="8">
        <f t="shared" ca="1" si="4"/>
        <v>0</v>
      </c>
    </row>
    <row r="9" spans="1:26" x14ac:dyDescent="0.2">
      <c r="A9">
        <f>'Weekly Ideal Results'!A9</f>
        <v>2</v>
      </c>
      <c r="B9" t="str">
        <f>'Weekly Ideal Results'!B9</f>
        <v>Please Let Me Win IDK what 2 do</v>
      </c>
      <c r="C9" t="str">
        <f>'Weekly Ideal Results'!C9</f>
        <v>Shough and pray</v>
      </c>
      <c r="D9" cm="1">
        <f t="array" aca="1" ref="D9" ca="1">INDEX('Team Summaries'!$D$2:$D$1000,MATCH(1,('Weekly Actual Results'!$A9='Team Summaries'!$B$2:$B$1000)*('Weekly Actual Results'!B9='Team Summaries'!$A$2:$A$1000),0))</f>
        <v>113.10000000000001</v>
      </c>
      <c r="E9" cm="1">
        <f t="array" aca="1" ref="E9" ca="1">INDEX('Team Summaries'!$D$2:$D$1000,MATCH(1,('Weekly Actual Results'!$A9='Team Summaries'!$B$2:$B$1000)*('Weekly Actual Results'!C9='Team Summaries'!$A$2:$A$1000),0))</f>
        <v>135.18</v>
      </c>
      <c r="F9">
        <f t="shared" ca="1" si="0"/>
        <v>-22.08</v>
      </c>
      <c r="G9" s="11" cm="1">
        <f t="array" aca="1" ref="G9" ca="1">D9/MEDIAN(_xlfn.VSTACK(_xlfn._xlws.FILTER($D$2:$D$1000,$B$2:$B$1000=B9),_xlfn._xlws.FILTER($E$2:$E$1000,$C$2:$C$1000=B9)))</f>
        <v>0.78269896193771638</v>
      </c>
      <c r="H9" s="11" cm="1">
        <f t="array" aca="1" ref="H9" ca="1">E9/MEDIAN(_xlfn.VSTACK(_xlfn._xlws.FILTER($E$2:$E$1000,$C$2:$C$1000=C9),_xlfn._xlws.FILTER($D$2:$D$1000,$B$2:$B$1000=C9)))</f>
        <v>1</v>
      </c>
      <c r="I9" s="14"/>
      <c r="J9" s="11"/>
      <c r="K9" s="11"/>
      <c r="L9" t="str">
        <f>'Weekly Ideal Results'!H9</f>
        <v>Puka bit my finger</v>
      </c>
      <c r="M9">
        <f t="shared" ca="1" si="1"/>
        <v>1</v>
      </c>
      <c r="N9">
        <f t="shared" ca="1" si="2"/>
        <v>2</v>
      </c>
      <c r="P9">
        <f t="shared" si="5"/>
        <v>7</v>
      </c>
      <c r="Q9" t="s">
        <v>494</v>
      </c>
      <c r="R9">
        <f ca="1">VLOOKUP(Table26[[#This Row],[Team]],$L$2:$N$15,2,FALSE)</f>
        <v>0</v>
      </c>
      <c r="S9">
        <f ca="1">VLOOKUP(Table26[[#This Row],[Team]],$L$2:$N$15,3,FALSE)</f>
        <v>3</v>
      </c>
      <c r="T9" s="8">
        <f t="shared" ca="1" si="3"/>
        <v>0</v>
      </c>
      <c r="V9">
        <f t="shared" si="6"/>
        <v>7</v>
      </c>
      <c r="W9" t="s">
        <v>343</v>
      </c>
      <c r="X9">
        <f ca="1">VLOOKUP(Table37[[#This Row],[Team]],$L$2:$N$15,2,FALSE)</f>
        <v>0</v>
      </c>
      <c r="Y9">
        <f ca="1">VLOOKUP(Table37[[#This Row],[Team]],$L$2:$N$15,3,FALSE)</f>
        <v>3</v>
      </c>
      <c r="Z9" s="8">
        <f t="shared" ca="1" si="4"/>
        <v>0</v>
      </c>
    </row>
    <row r="10" spans="1:26" x14ac:dyDescent="0.2">
      <c r="A10">
        <f>'Weekly Ideal Results'!A10</f>
        <v>2</v>
      </c>
      <c r="B10" t="str">
        <f>'Weekly Ideal Results'!B10</f>
        <v>Coach Carlt</v>
      </c>
      <c r="C10" t="str">
        <f>'Weekly Ideal Results'!C10</f>
        <v>Puka bit my finger</v>
      </c>
      <c r="D10" cm="1">
        <f t="array" aca="1" ref="D10" ca="1">INDEX('Team Summaries'!$D$2:$D$1000,MATCH(1,('Weekly Actual Results'!$A10='Team Summaries'!$B$2:$B$1000)*('Weekly Actual Results'!B10='Team Summaries'!$A$2:$A$1000),0))</f>
        <v>102.03999999999999</v>
      </c>
      <c r="E10" cm="1">
        <f t="array" aca="1" ref="E10" ca="1">INDEX('Team Summaries'!$D$2:$D$1000,MATCH(1,('Weekly Actual Results'!$A10='Team Summaries'!$B$2:$B$1000)*('Weekly Actual Results'!C10='Team Summaries'!$A$2:$A$1000),0))</f>
        <v>79.580000000000013</v>
      </c>
      <c r="F10">
        <f t="shared" ca="1" si="0"/>
        <v>22.45999999999998</v>
      </c>
      <c r="G10" s="11" cm="1">
        <f t="array" aca="1" ref="G10" ca="1">D10/MEDIAN(_xlfn.VSTACK(_xlfn._xlws.FILTER($D$2:$D$1000,$B$2:$B$1000=B10),_xlfn._xlws.FILTER($E$2:$E$1000,$C$2:$C$1000=B10)))</f>
        <v>1</v>
      </c>
      <c r="H10" s="11" cm="1">
        <f t="array" aca="1" ref="H10" ca="1">E10/MEDIAN(_xlfn.VSTACK(_xlfn._xlws.FILTER($E$2:$E$1000,$C$2:$C$1000=C10),_xlfn._xlws.FILTER($D$2:$D$1000,$B$2:$B$1000=C10)))</f>
        <v>0.98783515392254229</v>
      </c>
      <c r="I10" s="14"/>
      <c r="J10" s="11"/>
      <c r="K10" s="11"/>
      <c r="L10" t="str">
        <f>'Weekly Ideal Results'!H10</f>
        <v>Lemieuse-bouche sais quoi</v>
      </c>
      <c r="M10">
        <f t="shared" ca="1" si="1"/>
        <v>2</v>
      </c>
      <c r="N10">
        <f t="shared" ca="1" si="2"/>
        <v>1</v>
      </c>
    </row>
    <row r="11" spans="1:26" x14ac:dyDescent="0.2">
      <c r="A11">
        <f>'Weekly Ideal Results'!A11</f>
        <v>2</v>
      </c>
      <c r="B11" t="str">
        <f>'Weekly Ideal Results'!B11</f>
        <v>Picken Dis Nose</v>
      </c>
      <c r="C11" t="str">
        <f>'Weekly Ideal Results'!C11</f>
        <v>the medical tent apparently</v>
      </c>
      <c r="D11" cm="1">
        <f t="array" aca="1" ref="D11" ca="1">INDEX('Team Summaries'!$D$2:$D$1000,MATCH(1,('Weekly Actual Results'!$A11='Team Summaries'!$B$2:$B$1000)*('Weekly Actual Results'!B11='Team Summaries'!$A$2:$A$1000),0))</f>
        <v>120.88</v>
      </c>
      <c r="E11" cm="1">
        <f t="array" aca="1" ref="E11" ca="1">INDEX('Team Summaries'!$D$2:$D$1000,MATCH(1,('Weekly Actual Results'!$A11='Team Summaries'!$B$2:$B$1000)*('Weekly Actual Results'!C11='Team Summaries'!$A$2:$A$1000),0))</f>
        <v>92.300000000000011</v>
      </c>
      <c r="F11">
        <f t="shared" ca="1" si="0"/>
        <v>28.579999999999984</v>
      </c>
      <c r="G11" s="11" cm="1">
        <f t="array" aca="1" ref="G11" ca="1">D11/MEDIAN(_xlfn.VSTACK(_xlfn._xlws.FILTER($D$2:$D$1000,$B$2:$B$1000=B11),_xlfn._xlws.FILTER($E$2:$E$1000,$C$2:$C$1000=B11)))</f>
        <v>1.3359858532272322</v>
      </c>
      <c r="H11" s="11" cm="1">
        <f t="array" aca="1" ref="H11" ca="1">E11/MEDIAN(_xlfn.VSTACK(_xlfn._xlws.FILTER($E$2:$E$1000,$C$2:$C$1000=C11),_xlfn._xlws.FILTER($D$2:$D$1000,$B$2:$B$1000=C11)))</f>
        <v>1</v>
      </c>
      <c r="I11" s="14"/>
      <c r="J11" s="11"/>
      <c r="K11" s="11"/>
      <c r="L11" t="str">
        <f>'Weekly Ideal Results'!H11</f>
        <v>the medical tent apparently</v>
      </c>
      <c r="M11">
        <f t="shared" ca="1" si="1"/>
        <v>0</v>
      </c>
      <c r="N11">
        <f t="shared" ca="1" si="2"/>
        <v>3</v>
      </c>
    </row>
    <row r="12" spans="1:26" x14ac:dyDescent="0.2">
      <c r="A12">
        <f>'Weekly Ideal Results'!A12</f>
        <v>2</v>
      </c>
      <c r="B12" t="str">
        <f>'Weekly Ideal Results'!B12</f>
        <v>The Strib Club</v>
      </c>
      <c r="C12" t="str">
        <f>'Weekly Ideal Results'!C12</f>
        <v>pretty good team</v>
      </c>
      <c r="D12" cm="1">
        <f t="array" aca="1" ref="D12" ca="1">INDEX('Team Summaries'!$D$2:$D$1000,MATCH(1,('Weekly Actual Results'!$A12='Team Summaries'!$B$2:$B$1000)*('Weekly Actual Results'!B12='Team Summaries'!$A$2:$A$1000),0))</f>
        <v>110.82</v>
      </c>
      <c r="E12" cm="1">
        <f t="array" aca="1" ref="E12" ca="1">INDEX('Team Summaries'!$D$2:$D$1000,MATCH(1,('Weekly Actual Results'!$A12='Team Summaries'!$B$2:$B$1000)*('Weekly Actual Results'!C12='Team Summaries'!$A$2:$A$1000),0))</f>
        <v>56.160000000000004</v>
      </c>
      <c r="F12">
        <f t="shared" ca="1" si="0"/>
        <v>54.659999999999989</v>
      </c>
      <c r="G12" s="11" cm="1">
        <f t="array" aca="1" ref="G12" ca="1">D12/MEDIAN(_xlfn.VSTACK(_xlfn._xlws.FILTER($D$2:$D$1000,$B$2:$B$1000=B12),_xlfn._xlws.FILTER($E$2:$E$1000,$C$2:$C$1000=B12)))</f>
        <v>1.2527696133845807</v>
      </c>
      <c r="H12" s="11" cm="1">
        <f t="array" aca="1" ref="H12" ca="1">E12/MEDIAN(_xlfn.VSTACK(_xlfn._xlws.FILTER($E$2:$E$1000,$C$2:$C$1000=C12),_xlfn._xlws.FILTER($D$2:$D$1000,$B$2:$B$1000=C12)))</f>
        <v>0.52300242130750607</v>
      </c>
      <c r="I12" s="14"/>
      <c r="J12" s="11"/>
      <c r="K12" s="11"/>
      <c r="L12" t="str">
        <f>'Weekly Ideal Results'!H12</f>
        <v>your friendly fantasy despot</v>
      </c>
      <c r="M12">
        <f t="shared" ca="1" si="1"/>
        <v>2</v>
      </c>
      <c r="N12">
        <f t="shared" ca="1" si="2"/>
        <v>1</v>
      </c>
    </row>
    <row r="13" spans="1:26" x14ac:dyDescent="0.2">
      <c r="A13">
        <f>'Weekly Ideal Results'!A13</f>
        <v>2</v>
      </c>
      <c r="B13" t="str">
        <f>'Weekly Ideal Results'!B13</f>
        <v>Pleading the Fifth Down</v>
      </c>
      <c r="C13" t="str">
        <f>'Weekly Ideal Results'!C13</f>
        <v>Jungle Drummer</v>
      </c>
      <c r="D13" cm="1">
        <f t="array" aca="1" ref="D13" ca="1">INDEX('Team Summaries'!$D$2:$D$1000,MATCH(1,('Weekly Actual Results'!$A13='Team Summaries'!$B$2:$B$1000)*('Weekly Actual Results'!B13='Team Summaries'!$A$2:$A$1000),0))</f>
        <v>110.51999999999998</v>
      </c>
      <c r="E13" cm="1">
        <f t="array" aca="1" ref="E13" ca="1">INDEX('Team Summaries'!$D$2:$D$1000,MATCH(1,('Weekly Actual Results'!$A13='Team Summaries'!$B$2:$B$1000)*('Weekly Actual Results'!C13='Team Summaries'!$A$2:$A$1000),0))</f>
        <v>108.06</v>
      </c>
      <c r="F13">
        <f t="shared" ca="1" si="0"/>
        <v>2.4599999999999795</v>
      </c>
      <c r="G13" s="11" cm="1">
        <f t="array" aca="1" ref="G13" ca="1">D13/MEDIAN(_xlfn.VSTACK(_xlfn._xlws.FILTER($D$2:$D$1000,$B$2:$B$1000=B13),_xlfn._xlws.FILTER($E$2:$E$1000,$C$2:$C$1000=B13)))</f>
        <v>0.982924226254002</v>
      </c>
      <c r="H13" s="11" cm="1">
        <f t="array" aca="1" ref="H13" ca="1">E13/MEDIAN(_xlfn.VSTACK(_xlfn._xlws.FILTER($E$2:$E$1000,$C$2:$C$1000=C13),_xlfn._xlws.FILTER($D$2:$D$1000,$B$2:$B$1000=C13)))</f>
        <v>1</v>
      </c>
      <c r="I13" s="11"/>
      <c r="J13" s="11"/>
      <c r="L13" t="str">
        <f>'Weekly Ideal Results'!H13</f>
        <v>pretty good team</v>
      </c>
      <c r="M13">
        <f t="shared" ca="1" si="1"/>
        <v>0</v>
      </c>
      <c r="N13">
        <f t="shared" ca="1" si="2"/>
        <v>3</v>
      </c>
    </row>
    <row r="14" spans="1:26" x14ac:dyDescent="0.2">
      <c r="A14">
        <f>'Weekly Ideal Results'!A14</f>
        <v>2</v>
      </c>
      <c r="B14" t="str">
        <f>'Weekly Ideal Results'!B14</f>
        <v>I'm At My Limit</v>
      </c>
      <c r="C14" t="str">
        <f>'Weekly Ideal Results'!C14</f>
        <v>your friendly fantasy despot</v>
      </c>
      <c r="D14" cm="1">
        <f t="array" aca="1" ref="D14" ca="1">INDEX('Team Summaries'!$D$2:$D$1000,MATCH(1,('Weekly Actual Results'!$A14='Team Summaries'!$B$2:$B$1000)*('Weekly Actual Results'!B14='Team Summaries'!$A$2:$A$1000),0))</f>
        <v>95.779999999999987</v>
      </c>
      <c r="E14" cm="1">
        <f t="array" aca="1" ref="E14" ca="1">INDEX('Team Summaries'!$D$2:$D$1000,MATCH(1,('Weekly Actual Results'!$A14='Team Summaries'!$B$2:$B$1000)*('Weekly Actual Results'!C14='Team Summaries'!$A$2:$A$1000),0))</f>
        <v>131.27999999999997</v>
      </c>
      <c r="F14">
        <f t="shared" ca="1" si="0"/>
        <v>-35.499999999999986</v>
      </c>
      <c r="G14" s="11" cm="1">
        <f t="array" aca="1" ref="G14" ca="1">D14/MEDIAN(_xlfn.VSTACK(_xlfn._xlws.FILTER($D$2:$D$1000,$B$2:$B$1000=B14),_xlfn._xlws.FILTER($E$2:$E$1000,$C$2:$C$1000=B14)))</f>
        <v>0.86288288288288284</v>
      </c>
      <c r="H14" s="11" cm="1">
        <f t="array" aca="1" ref="H14" ca="1">E14/MEDIAN(_xlfn.VSTACK(_xlfn._xlws.FILTER($E$2:$E$1000,$C$2:$C$1000=C14),_xlfn._xlws.FILTER($D$2:$D$1000,$B$2:$B$1000=C14)))</f>
        <v>1</v>
      </c>
      <c r="I14" s="11"/>
      <c r="J14" s="11"/>
      <c r="L14" t="str">
        <f>'Weekly Ideal Results'!H14</f>
        <v>Juwan's Big Johnson</v>
      </c>
      <c r="M14">
        <f t="shared" ref="M14:M15" ca="1" si="7">COUNTIFS($B$2:$B$1000,L14,$F$2:$F$1000,"&gt;0")+COUNTIFS($C$2:$C$1000,L14,$F$2:$F$1000,"&lt;0")</f>
        <v>2</v>
      </c>
      <c r="N14">
        <f t="shared" ref="N14:N15" ca="1" si="8">COUNTIFS($B$2:$B$1000,L14,$F$2:$F$1000,"&lt;0")+COUNTIFS($C$2:$C$1000,L14,$F$2:$F$1000,"&gt;0")</f>
        <v>1</v>
      </c>
    </row>
    <row r="15" spans="1:26" x14ac:dyDescent="0.2">
      <c r="A15">
        <f>'Weekly Ideal Results'!A15</f>
        <v>2</v>
      </c>
      <c r="B15" t="str">
        <f>'Weekly Ideal Results'!B15</f>
        <v>Lemieuse-bouche sais quoi</v>
      </c>
      <c r="C15" t="str">
        <f>'Weekly Ideal Results'!C15</f>
        <v>Juwan's Big Johnson</v>
      </c>
      <c r="D15" cm="1">
        <f t="array" aca="1" ref="D15" ca="1">INDEX('Team Summaries'!$D$2:$D$1000,MATCH(1,('Weekly Actual Results'!$A15='Team Summaries'!$B$2:$B$1000)*('Weekly Actual Results'!B15='Team Summaries'!$A$2:$A$1000),0))</f>
        <v>116.92</v>
      </c>
      <c r="E15" cm="1">
        <f t="array" aca="1" ref="E15" ca="1">INDEX('Team Summaries'!$D$2:$D$1000,MATCH(1,('Weekly Actual Results'!$A15='Team Summaries'!$B$2:$B$1000)*('Weekly Actual Results'!C15='Team Summaries'!$A$2:$A$1000),0))</f>
        <v>92.61999999999999</v>
      </c>
      <c r="F15">
        <f t="shared" ca="1" si="0"/>
        <v>24.300000000000011</v>
      </c>
      <c r="G15" s="11" cm="1">
        <f t="array" aca="1" ref="G15" ca="1">D15/MEDIAN(_xlfn.VSTACK(_xlfn._xlws.FILTER($D$2:$D$1000,$B$2:$B$1000=B15),_xlfn._xlws.FILTER($E$2:$E$1000,$C$2:$C$1000=B15)))</f>
        <v>1</v>
      </c>
      <c r="H15" s="11" cm="1">
        <f t="array" aca="1" ref="H15" ca="1">E15/MEDIAN(_xlfn.VSTACK(_xlfn._xlws.FILTER($E$2:$E$1000,$C$2:$C$1000=C15),_xlfn._xlws.FILTER($D$2:$D$1000,$B$2:$B$1000=C15)))</f>
        <v>0.79000341180484468</v>
      </c>
      <c r="I15" s="11"/>
      <c r="J15" s="11"/>
      <c r="L15" t="str">
        <f>'Weekly Ideal Results'!H15</f>
        <v>Jungle Drummer</v>
      </c>
      <c r="M15">
        <f t="shared" ca="1" si="7"/>
        <v>0</v>
      </c>
      <c r="N15">
        <f t="shared" ca="1" si="8"/>
        <v>3</v>
      </c>
    </row>
    <row r="16" spans="1:26" x14ac:dyDescent="0.2">
      <c r="A16">
        <f>'Weekly Ideal Results'!A16</f>
        <v>3</v>
      </c>
      <c r="B16" t="str">
        <f>'Weekly Ideal Results'!B16</f>
        <v>the medical tent apparently</v>
      </c>
      <c r="C16" t="str">
        <f>'Weekly Ideal Results'!C16</f>
        <v>Puka bit my finger</v>
      </c>
      <c r="D16" cm="1">
        <f t="array" aca="1" ref="D16" ca="1">INDEX('Team Summaries'!$D$2:$D$1000,MATCH(1,('Weekly Actual Results'!$A16='Team Summaries'!$B$2:$B$1000)*('Weekly Actual Results'!B16='Team Summaries'!$A$2:$A$1000),0))</f>
        <v>94.84</v>
      </c>
      <c r="E16" cm="1">
        <f t="array" aca="1" ref="E16" ca="1">INDEX('Team Summaries'!$D$2:$D$1000,MATCH(1,('Weekly Actual Results'!$A16='Team Summaries'!$B$2:$B$1000)*('Weekly Actual Results'!C16='Team Summaries'!$A$2:$A$1000),0))</f>
        <v>129.28</v>
      </c>
      <c r="F16">
        <f t="shared" ca="1" si="0"/>
        <v>-34.44</v>
      </c>
      <c r="G16" s="11" cm="1">
        <f t="array" aca="1" ref="G16" ca="1">D16/MEDIAN(_xlfn.VSTACK(_xlfn._xlws.FILTER($D$2:$D$1000,$B$2:$B$1000=B16),_xlfn._xlws.FILTER($E$2:$E$1000,$C$2:$C$1000=B16)))</f>
        <v>1.0275189599133261</v>
      </c>
      <c r="H16" s="11" cm="1">
        <f t="array" aca="1" ref="H16" ca="1">E16/MEDIAN(_xlfn.VSTACK(_xlfn._xlws.FILTER($E$2:$E$1000,$C$2:$C$1000=C16),_xlfn._xlws.FILTER($D$2:$D$1000,$B$2:$B$1000=C16)))</f>
        <v>1.6047666335650446</v>
      </c>
      <c r="I16" s="11"/>
      <c r="J16" s="11"/>
    </row>
    <row r="17" spans="1:11" x14ac:dyDescent="0.2">
      <c r="A17">
        <f>'Weekly Ideal Results'!A17</f>
        <v>3</v>
      </c>
      <c r="B17" t="str">
        <f>'Weekly Ideal Results'!B17</f>
        <v>pretty good team</v>
      </c>
      <c r="C17" t="str">
        <f>'Weekly Ideal Results'!C17</f>
        <v>Shough and pray</v>
      </c>
      <c r="D17" cm="1">
        <f t="array" aca="1" ref="D17" ca="1">INDEX('Team Summaries'!$D$2:$D$1000,MATCH(1,('Weekly Actual Results'!$A17='Team Summaries'!$B$2:$B$1000)*('Weekly Actual Results'!B17='Team Summaries'!$A$2:$A$1000),0))</f>
        <v>107.38</v>
      </c>
      <c r="E17" cm="1">
        <f t="array" aca="1" ref="E17" ca="1">INDEX('Team Summaries'!$D$2:$D$1000,MATCH(1,('Weekly Actual Results'!$A17='Team Summaries'!$B$2:$B$1000)*('Weekly Actual Results'!C17='Team Summaries'!$A$2:$A$1000),0))</f>
        <v>130.4</v>
      </c>
      <c r="F17">
        <f t="shared" ca="1" si="0"/>
        <v>-23.02000000000001</v>
      </c>
      <c r="G17" s="11" cm="1">
        <f t="array" aca="1" ref="G17" ca="1">D17/MEDIAN(_xlfn.VSTACK(_xlfn._xlws.FILTER($D$2:$D$1000,$B$2:$B$1000=B17),_xlfn._xlws.FILTER($E$2:$E$1000,$C$2:$C$1000=B17)))</f>
        <v>1</v>
      </c>
      <c r="H17" s="11" cm="1">
        <f t="array" aca="1" ref="H17" ca="1">E17/MEDIAN(_xlfn.VSTACK(_xlfn._xlws.FILTER($E$2:$E$1000,$C$2:$C$1000=C17),_xlfn._xlws.FILTER($D$2:$D$1000,$B$2:$B$1000=C17)))</f>
        <v>0.96463973960645066</v>
      </c>
      <c r="I17" s="11"/>
      <c r="J17" s="11"/>
    </row>
    <row r="18" spans="1:11" x14ac:dyDescent="0.2">
      <c r="A18">
        <f>'Weekly Ideal Results'!A18</f>
        <v>3</v>
      </c>
      <c r="B18" t="str">
        <f>'Weekly Ideal Results'!B18</f>
        <v>Jungle Drummer</v>
      </c>
      <c r="C18" t="str">
        <f>'Weekly Ideal Results'!C18</f>
        <v>Please Let Me Win IDK what 2 do</v>
      </c>
      <c r="D18" cm="1">
        <f t="array" aca="1" ref="D18" ca="1">INDEX('Team Summaries'!$D$2:$D$1000,MATCH(1,('Weekly Actual Results'!$A18='Team Summaries'!$B$2:$B$1000)*('Weekly Actual Results'!B18='Team Summaries'!$A$2:$A$1000),0))</f>
        <v>114.72</v>
      </c>
      <c r="E18" cm="1">
        <f t="array" aca="1" ref="E18" ca="1">INDEX('Team Summaries'!$D$2:$D$1000,MATCH(1,('Weekly Actual Results'!$A18='Team Summaries'!$B$2:$B$1000)*('Weekly Actual Results'!C18='Team Summaries'!$A$2:$A$1000),0))</f>
        <v>151.58000000000001</v>
      </c>
      <c r="F18">
        <f t="shared" ca="1" si="0"/>
        <v>-36.860000000000014</v>
      </c>
      <c r="G18" s="11" cm="1">
        <f t="array" aca="1" ref="G18" ca="1">D18/MEDIAN(_xlfn.VSTACK(_xlfn._xlws.FILTER($D$2:$D$1000,$B$2:$B$1000=B18),_xlfn._xlws.FILTER($E$2:$E$1000,$C$2:$C$1000=B18)))</f>
        <v>1.0616324264297612</v>
      </c>
      <c r="H18" s="11" cm="1">
        <f t="array" aca="1" ref="H18" ca="1">E18/MEDIAN(_xlfn.VSTACK(_xlfn._xlws.FILTER($E$2:$E$1000,$C$2:$C$1000=C18),_xlfn._xlws.FILTER($D$2:$D$1000,$B$2:$B$1000=C18)))</f>
        <v>1.0489965397923877</v>
      </c>
      <c r="I18" s="11"/>
      <c r="J18" s="11"/>
    </row>
    <row r="19" spans="1:11" x14ac:dyDescent="0.2">
      <c r="A19">
        <f>'Weekly Ideal Results'!A19</f>
        <v>3</v>
      </c>
      <c r="B19" t="str">
        <f>'Weekly Ideal Results'!B19</f>
        <v>your friendly fantasy despot</v>
      </c>
      <c r="C19" t="str">
        <f>'Weekly Ideal Results'!C19</f>
        <v>Coach Carlt</v>
      </c>
      <c r="D19" cm="1">
        <f t="array" aca="1" ref="D19" ca="1">INDEX('Team Summaries'!$D$2:$D$1000,MATCH(1,('Weekly Actual Results'!$A19='Team Summaries'!$B$2:$B$1000)*('Weekly Actual Results'!B19='Team Summaries'!$A$2:$A$1000),0))</f>
        <v>85.64</v>
      </c>
      <c r="E19" cm="1">
        <f t="array" aca="1" ref="E19" ca="1">INDEX('Team Summaries'!$D$2:$D$1000,MATCH(1,('Weekly Actual Results'!$A19='Team Summaries'!$B$2:$B$1000)*('Weekly Actual Results'!C19='Team Summaries'!$A$2:$A$1000),0))</f>
        <v>93.179999999999993</v>
      </c>
      <c r="F19">
        <f t="shared" ca="1" si="0"/>
        <v>-7.539999999999992</v>
      </c>
      <c r="G19" s="11" cm="1">
        <f t="array" aca="1" ref="G19" ca="1">D19/MEDIAN(_xlfn.VSTACK(_xlfn._xlws.FILTER($D$2:$D$1000,$B$2:$B$1000=B19),_xlfn._xlws.FILTER($E$2:$E$1000,$C$2:$C$1000=B19)))</f>
        <v>0.65234613040828782</v>
      </c>
      <c r="H19" s="11" cm="1">
        <f t="array" aca="1" ref="H19" ca="1">E19/MEDIAN(_xlfn.VSTACK(_xlfn._xlws.FILTER($E$2:$E$1000,$C$2:$C$1000=C19),_xlfn._xlws.FILTER($D$2:$D$1000,$B$2:$B$1000=C19)))</f>
        <v>0.913171305370443</v>
      </c>
      <c r="I19" s="11"/>
      <c r="J19" s="11"/>
    </row>
    <row r="20" spans="1:11" x14ac:dyDescent="0.2">
      <c r="A20">
        <f>'Weekly Ideal Results'!A20</f>
        <v>3</v>
      </c>
      <c r="B20" t="str">
        <f>'Weekly Ideal Results'!B20</f>
        <v>Juwan's Big Johnson</v>
      </c>
      <c r="C20" t="str">
        <f>'Weekly Ideal Results'!C20</f>
        <v>Picken Dis Nose</v>
      </c>
      <c r="D20" cm="1">
        <f t="array" aca="1" ref="D20" ca="1">INDEX('Team Summaries'!$D$2:$D$1000,MATCH(1,('Weekly Actual Results'!$A20='Team Summaries'!$B$2:$B$1000)*('Weekly Actual Results'!B20='Team Summaries'!$A$2:$A$1000),0))</f>
        <v>117.24</v>
      </c>
      <c r="E20" cm="1">
        <f t="array" aca="1" ref="E20" ca="1">INDEX('Team Summaries'!$D$2:$D$1000,MATCH(1,('Weekly Actual Results'!$A20='Team Summaries'!$B$2:$B$1000)*('Weekly Actual Results'!C20='Team Summaries'!$A$2:$A$1000),0))</f>
        <v>90.480000000000018</v>
      </c>
      <c r="F20">
        <f t="shared" ca="1" si="0"/>
        <v>26.759999999999977</v>
      </c>
      <c r="G20" s="11" cm="1">
        <f t="array" aca="1" ref="G20" ca="1">D20/MEDIAN(_xlfn.VSTACK(_xlfn._xlws.FILTER($D$2:$D$1000,$B$2:$B$1000=B20),_xlfn._xlws.FILTER($E$2:$E$1000,$C$2:$C$1000=B20)))</f>
        <v>1</v>
      </c>
      <c r="H20" s="11" cm="1">
        <f t="array" aca="1" ref="H20" ca="1">E20/MEDIAN(_xlfn.VSTACK(_xlfn._xlws.FILTER($E$2:$E$1000,$C$2:$C$1000=C20),_xlfn._xlws.FILTER($D$2:$D$1000,$B$2:$B$1000=C20)))</f>
        <v>1</v>
      </c>
      <c r="I20" s="11"/>
      <c r="J20" s="11"/>
    </row>
    <row r="21" spans="1:11" x14ac:dyDescent="0.2">
      <c r="A21">
        <f>'Weekly Ideal Results'!A21</f>
        <v>3</v>
      </c>
      <c r="B21" t="str">
        <f>'Weekly Ideal Results'!B21</f>
        <v>I'm At My Limit</v>
      </c>
      <c r="C21" t="str">
        <f>'Weekly Ideal Results'!C21</f>
        <v>The Strib Club</v>
      </c>
      <c r="D21" cm="1">
        <f t="array" aca="1" ref="D21" ca="1">INDEX('Team Summaries'!$D$2:$D$1000,MATCH(1,('Weekly Actual Results'!$A21='Team Summaries'!$B$2:$B$1000)*('Weekly Actual Results'!B21='Team Summaries'!$A$2:$A$1000),0))</f>
        <v>123.7</v>
      </c>
      <c r="E21" cm="1">
        <f t="array" aca="1" ref="E21" ca="1">INDEX('Team Summaries'!$D$2:$D$1000,MATCH(1,('Weekly Actual Results'!$A21='Team Summaries'!$B$2:$B$1000)*('Weekly Actual Results'!C21='Team Summaries'!$A$2:$A$1000),0))</f>
        <v>80.06</v>
      </c>
      <c r="F21">
        <f t="shared" ca="1" si="0"/>
        <v>43.64</v>
      </c>
      <c r="G21" s="11" cm="1">
        <f t="array" aca="1" ref="G21" ca="1">D21/MEDIAN(_xlfn.VSTACK(_xlfn._xlws.FILTER($D$2:$D$1000,$B$2:$B$1000=B21),_xlfn._xlws.FILTER($E$2:$E$1000,$C$2:$C$1000=B21)))</f>
        <v>1.1144144144144146</v>
      </c>
      <c r="H21" s="11" cm="1">
        <f t="array" aca="1" ref="H21" ca="1">E21/MEDIAN(_xlfn.VSTACK(_xlfn._xlws.FILTER($E$2:$E$1000,$C$2:$C$1000=C21),_xlfn._xlws.FILTER($D$2:$D$1000,$B$2:$B$1000=C21)))</f>
        <v>0.9050418268143795</v>
      </c>
      <c r="I21" s="11"/>
      <c r="J21" s="11"/>
    </row>
    <row r="22" spans="1:11" x14ac:dyDescent="0.2">
      <c r="A22">
        <f>'Weekly Ideal Results'!A22</f>
        <v>3</v>
      </c>
      <c r="B22" t="str">
        <f>'Weekly Ideal Results'!B22</f>
        <v>Lemieuse-bouche sais quoi</v>
      </c>
      <c r="C22" t="str">
        <f>'Weekly Ideal Results'!C22</f>
        <v>Pleading the Fifth Down</v>
      </c>
      <c r="D22" cm="1">
        <f t="array" aca="1" ref="D22" ca="1">INDEX('Team Summaries'!$D$2:$D$1000,MATCH(1,('Weekly Actual Results'!$A22='Team Summaries'!$B$2:$B$1000)*('Weekly Actual Results'!B22='Team Summaries'!$A$2:$A$1000),0))</f>
        <v>81.06</v>
      </c>
      <c r="E22" cm="1">
        <f t="array" aca="1" ref="E22" ca="1">INDEX('Team Summaries'!$D$2:$D$1000,MATCH(1,('Weekly Actual Results'!$A22='Team Summaries'!$B$2:$B$1000)*('Weekly Actual Results'!C22='Team Summaries'!$A$2:$A$1000),0))</f>
        <v>112.44</v>
      </c>
      <c r="F22">
        <f t="shared" ca="1" si="0"/>
        <v>-31.379999999999995</v>
      </c>
      <c r="G22" s="11" cm="1">
        <f t="array" aca="1" ref="G22" ca="1">D22/MEDIAN(_xlfn.VSTACK(_xlfn._xlws.FILTER($D$2:$D$1000,$B$2:$B$1000=B22),_xlfn._xlws.FILTER($E$2:$E$1000,$C$2:$C$1000=B22)))</f>
        <v>0.69329456038316795</v>
      </c>
      <c r="H22" s="11" cm="1">
        <f t="array" aca="1" ref="H22" ca="1">E22/MEDIAN(_xlfn.VSTACK(_xlfn._xlws.FILTER($E$2:$E$1000,$C$2:$C$1000=C22),_xlfn._xlws.FILTER($D$2:$D$1000,$B$2:$B$1000=C22)))</f>
        <v>1</v>
      </c>
      <c r="I22" s="11"/>
      <c r="J22" s="11"/>
    </row>
    <row r="23" spans="1:11" x14ac:dyDescent="0.2">
      <c r="G23" s="11"/>
      <c r="H23" s="11"/>
      <c r="I23" s="11"/>
      <c r="J23" s="11"/>
    </row>
    <row r="24" spans="1:11" x14ac:dyDescent="0.2">
      <c r="G24" s="11"/>
      <c r="H24" s="11"/>
      <c r="I24" s="11"/>
      <c r="J24" s="11"/>
    </row>
    <row r="25" spans="1:11" x14ac:dyDescent="0.2">
      <c r="G25" s="11"/>
      <c r="H25" s="11"/>
      <c r="I25" s="11"/>
      <c r="J25" s="11"/>
      <c r="K25" s="15"/>
    </row>
    <row r="26" spans="1:11" x14ac:dyDescent="0.2">
      <c r="G26" s="11"/>
      <c r="H26" s="11"/>
      <c r="I26" s="11"/>
      <c r="J26" s="11"/>
    </row>
    <row r="27" spans="1:11" x14ac:dyDescent="0.2">
      <c r="G27" s="11"/>
      <c r="H27" s="11"/>
      <c r="I27" s="11"/>
      <c r="J27" s="11"/>
    </row>
    <row r="28" spans="1:11" x14ac:dyDescent="0.2">
      <c r="G28" s="11"/>
      <c r="H28" s="11"/>
      <c r="I28" s="11"/>
      <c r="J28" s="11"/>
    </row>
    <row r="29" spans="1:11" x14ac:dyDescent="0.2">
      <c r="G29" s="11"/>
      <c r="H29" s="11"/>
      <c r="I29" s="11"/>
      <c r="J29" s="11"/>
    </row>
    <row r="30" spans="1:11" x14ac:dyDescent="0.2">
      <c r="G30" s="11"/>
      <c r="H30" s="11"/>
      <c r="I30" s="11"/>
      <c r="J30" s="11"/>
    </row>
    <row r="31" spans="1:11" x14ac:dyDescent="0.2">
      <c r="G31" s="11"/>
      <c r="H31" s="11"/>
      <c r="I31" s="11"/>
      <c r="J31" s="11"/>
    </row>
    <row r="32" spans="1:11" x14ac:dyDescent="0.2">
      <c r="G32" s="11"/>
      <c r="H32" s="11"/>
      <c r="I32" s="11"/>
      <c r="J32" s="11"/>
    </row>
    <row r="33" spans="7:10" x14ac:dyDescent="0.2">
      <c r="G33" s="11"/>
      <c r="H33" s="11"/>
      <c r="I33" s="11"/>
      <c r="J33" s="11"/>
    </row>
    <row r="34" spans="7:10" x14ac:dyDescent="0.2">
      <c r="G34" s="11"/>
      <c r="H34" s="11"/>
      <c r="I34" s="11"/>
      <c r="J34" s="11"/>
    </row>
    <row r="35" spans="7:10" x14ac:dyDescent="0.2">
      <c r="G35" s="11"/>
      <c r="H35" s="11"/>
      <c r="I35" s="11"/>
      <c r="J35" s="11"/>
    </row>
    <row r="36" spans="7:10" x14ac:dyDescent="0.2">
      <c r="G36" s="11"/>
      <c r="H36" s="11"/>
      <c r="I36" s="11"/>
      <c r="J36" s="11"/>
    </row>
    <row r="37" spans="7:10" x14ac:dyDescent="0.2">
      <c r="G37" s="11"/>
      <c r="H37" s="11"/>
      <c r="I37" s="11"/>
      <c r="J37" s="11"/>
    </row>
    <row r="38" spans="7:10" x14ac:dyDescent="0.2">
      <c r="G38" s="11"/>
      <c r="H38" s="11"/>
      <c r="I38" s="11"/>
      <c r="J38" s="11"/>
    </row>
    <row r="39" spans="7:10" x14ac:dyDescent="0.2">
      <c r="G39" s="11"/>
      <c r="H39" s="11"/>
      <c r="I39" s="11"/>
      <c r="J39" s="11"/>
    </row>
    <row r="40" spans="7:10" x14ac:dyDescent="0.2">
      <c r="G40" s="11"/>
      <c r="H40" s="11"/>
      <c r="I40" s="11"/>
      <c r="J40" s="11"/>
    </row>
    <row r="41" spans="7:10" x14ac:dyDescent="0.2">
      <c r="G41" s="11"/>
      <c r="H41" s="11"/>
      <c r="I41" s="11"/>
      <c r="J41" s="11"/>
    </row>
    <row r="42" spans="7:10" x14ac:dyDescent="0.2">
      <c r="G42" s="11"/>
      <c r="H42" s="11"/>
      <c r="I42" s="11"/>
      <c r="J42" s="11"/>
    </row>
    <row r="43" spans="7:10" x14ac:dyDescent="0.2">
      <c r="G43" s="11"/>
      <c r="H43" s="11"/>
      <c r="I43" s="11"/>
      <c r="J43" s="11"/>
    </row>
    <row r="44" spans="7:10" x14ac:dyDescent="0.2">
      <c r="G44" s="11"/>
      <c r="H44" s="11"/>
      <c r="I44" s="11"/>
      <c r="J44" s="11"/>
    </row>
    <row r="45" spans="7:10" x14ac:dyDescent="0.2">
      <c r="G45" s="11"/>
      <c r="H45" s="11"/>
      <c r="I45" s="11"/>
      <c r="J45" s="11"/>
    </row>
    <row r="46" spans="7:10" x14ac:dyDescent="0.2">
      <c r="G46" s="11"/>
      <c r="H46" s="11"/>
      <c r="I46" s="11"/>
      <c r="J46" s="11"/>
    </row>
    <row r="47" spans="7:10" x14ac:dyDescent="0.2">
      <c r="G47" s="11"/>
      <c r="H47" s="11"/>
      <c r="I47" s="11"/>
      <c r="J47" s="11"/>
    </row>
    <row r="48" spans="7:10" x14ac:dyDescent="0.2">
      <c r="G48" s="11"/>
      <c r="H48" s="11"/>
      <c r="I48" s="11"/>
      <c r="J48" s="11"/>
    </row>
    <row r="49" spans="7:10" x14ac:dyDescent="0.2">
      <c r="G49" s="11"/>
      <c r="H49" s="11"/>
      <c r="I49" s="11"/>
      <c r="J49" s="11"/>
    </row>
    <row r="50" spans="7:10" x14ac:dyDescent="0.2">
      <c r="G50" s="11"/>
      <c r="H50" s="11"/>
      <c r="I50" s="11"/>
      <c r="J50" s="11"/>
    </row>
    <row r="51" spans="7:10" x14ac:dyDescent="0.2">
      <c r="G51" s="11"/>
      <c r="H51" s="11"/>
      <c r="I51" s="11"/>
      <c r="J51" s="11"/>
    </row>
    <row r="52" spans="7:10" x14ac:dyDescent="0.2">
      <c r="G52" s="11"/>
      <c r="H52" s="11"/>
      <c r="I52" s="11"/>
      <c r="J52" s="11"/>
    </row>
    <row r="53" spans="7:10" x14ac:dyDescent="0.2">
      <c r="G53" s="11"/>
      <c r="H53" s="11"/>
      <c r="I53" s="11"/>
      <c r="J53" s="11"/>
    </row>
    <row r="54" spans="7:10" x14ac:dyDescent="0.2">
      <c r="G54" s="11"/>
      <c r="H54" s="11"/>
      <c r="I54" s="11"/>
      <c r="J54" s="11"/>
    </row>
    <row r="55" spans="7:10" x14ac:dyDescent="0.2">
      <c r="G55" s="11"/>
      <c r="H55" s="11"/>
      <c r="I55" s="11"/>
      <c r="J55" s="11"/>
    </row>
    <row r="56" spans="7:10" x14ac:dyDescent="0.2">
      <c r="G56" s="11"/>
      <c r="H56" s="11"/>
      <c r="I56" s="11"/>
      <c r="J56" s="11"/>
    </row>
    <row r="57" spans="7:10" x14ac:dyDescent="0.2">
      <c r="G57" s="11"/>
      <c r="H57" s="11"/>
      <c r="I57" s="11"/>
      <c r="J57" s="11"/>
    </row>
    <row r="58" spans="7:10" x14ac:dyDescent="0.2">
      <c r="G58" s="11"/>
      <c r="H58" s="11"/>
      <c r="I58" s="11"/>
      <c r="J58" s="11"/>
    </row>
    <row r="59" spans="7:10" x14ac:dyDescent="0.2">
      <c r="G59" s="11"/>
      <c r="H59" s="11"/>
      <c r="I59" s="11"/>
      <c r="J59" s="11"/>
    </row>
    <row r="60" spans="7:10" x14ac:dyDescent="0.2">
      <c r="G60" s="11"/>
      <c r="H60" s="11"/>
      <c r="I60" s="11"/>
      <c r="J60" s="11"/>
    </row>
    <row r="61" spans="7:10" x14ac:dyDescent="0.2">
      <c r="G61" s="11"/>
      <c r="H61" s="11"/>
      <c r="I61" s="11"/>
      <c r="J61" s="11"/>
    </row>
    <row r="62" spans="7:10" x14ac:dyDescent="0.2">
      <c r="G62" s="11"/>
      <c r="H62" s="11"/>
      <c r="I62" s="11"/>
      <c r="J62" s="11"/>
    </row>
    <row r="63" spans="7:10" x14ac:dyDescent="0.2">
      <c r="G63" s="11"/>
      <c r="H63" s="11"/>
      <c r="I63" s="11"/>
      <c r="J63" s="11"/>
    </row>
    <row r="64" spans="7:10" x14ac:dyDescent="0.2">
      <c r="G64" s="11"/>
      <c r="H64" s="11"/>
      <c r="I64" s="11"/>
      <c r="J64" s="11"/>
    </row>
    <row r="65" spans="7:10" x14ac:dyDescent="0.2">
      <c r="G65" s="11"/>
      <c r="H65" s="11"/>
      <c r="I65" s="11"/>
      <c r="J65" s="11"/>
    </row>
    <row r="66" spans="7:10" x14ac:dyDescent="0.2">
      <c r="G66" s="11"/>
      <c r="H66" s="11"/>
      <c r="I66" s="11"/>
      <c r="J66" s="11"/>
    </row>
    <row r="67" spans="7:10" x14ac:dyDescent="0.2">
      <c r="G67" s="11"/>
      <c r="H67" s="11"/>
      <c r="I67" s="11"/>
      <c r="J67" s="11"/>
    </row>
    <row r="68" spans="7:10" x14ac:dyDescent="0.2">
      <c r="G68" s="11"/>
      <c r="H68" s="11"/>
    </row>
    <row r="69" spans="7:10" x14ac:dyDescent="0.2">
      <c r="G69" s="11"/>
      <c r="H69" s="11"/>
    </row>
    <row r="70" spans="7:10" x14ac:dyDescent="0.2">
      <c r="G70" s="11"/>
      <c r="H70" s="11"/>
    </row>
    <row r="71" spans="7:10" x14ac:dyDescent="0.2">
      <c r="G71" s="11"/>
      <c r="H71" s="11"/>
    </row>
    <row r="72" spans="7:10" x14ac:dyDescent="0.2">
      <c r="G72" s="11"/>
      <c r="H72" s="11"/>
    </row>
    <row r="73" spans="7:10" x14ac:dyDescent="0.2">
      <c r="G73" s="11"/>
      <c r="H73" s="11"/>
    </row>
    <row r="74" spans="7:10" x14ac:dyDescent="0.2">
      <c r="G74" s="11"/>
      <c r="H74" s="11"/>
    </row>
    <row r="75" spans="7:10" x14ac:dyDescent="0.2">
      <c r="G75" s="11"/>
      <c r="H75" s="11"/>
    </row>
    <row r="76" spans="7:10" x14ac:dyDescent="0.2">
      <c r="G76" s="11"/>
      <c r="H76" s="11"/>
    </row>
    <row r="77" spans="7:10" x14ac:dyDescent="0.2">
      <c r="G77" s="11"/>
      <c r="H77" s="11"/>
    </row>
    <row r="78" spans="7:10" x14ac:dyDescent="0.2">
      <c r="G78" s="11"/>
      <c r="H78" s="11"/>
    </row>
    <row r="79" spans="7:10" x14ac:dyDescent="0.2">
      <c r="G79" s="11"/>
      <c r="H79" s="11"/>
    </row>
    <row r="80" spans="7:10" x14ac:dyDescent="0.2">
      <c r="G80" s="11"/>
      <c r="H80" s="11"/>
    </row>
    <row r="81" spans="7:8" x14ac:dyDescent="0.2">
      <c r="G81" s="11"/>
      <c r="H81" s="11"/>
    </row>
    <row r="82" spans="7:8" x14ac:dyDescent="0.2">
      <c r="G82" s="11"/>
      <c r="H82" s="11"/>
    </row>
    <row r="83" spans="7:8" x14ac:dyDescent="0.2">
      <c r="G83" s="11"/>
      <c r="H83" s="11"/>
    </row>
    <row r="84" spans="7:8" x14ac:dyDescent="0.2">
      <c r="G84" s="11"/>
      <c r="H84" s="11"/>
    </row>
    <row r="85" spans="7:8" x14ac:dyDescent="0.2">
      <c r="G85" s="11"/>
      <c r="H85" s="11"/>
    </row>
    <row r="86" spans="7:8" x14ac:dyDescent="0.2">
      <c r="G86" s="11"/>
      <c r="H86" s="11"/>
    </row>
    <row r="87" spans="7:8" x14ac:dyDescent="0.2">
      <c r="G87" s="11"/>
      <c r="H87" s="11"/>
    </row>
    <row r="88" spans="7:8" x14ac:dyDescent="0.2">
      <c r="G88" s="11"/>
      <c r="H88" s="11"/>
    </row>
    <row r="89" spans="7:8" x14ac:dyDescent="0.2">
      <c r="G89" s="11"/>
      <c r="H89" s="11"/>
    </row>
    <row r="90" spans="7:8" x14ac:dyDescent="0.2">
      <c r="G90" s="11"/>
      <c r="H90" s="11"/>
    </row>
    <row r="91" spans="7:8" x14ac:dyDescent="0.2">
      <c r="G91" s="11"/>
      <c r="H91" s="11"/>
    </row>
    <row r="92" spans="7:8" x14ac:dyDescent="0.2">
      <c r="G92" s="11"/>
      <c r="H92" s="11"/>
    </row>
    <row r="93" spans="7:8" x14ac:dyDescent="0.2">
      <c r="G93" s="11"/>
      <c r="H93" s="11"/>
    </row>
    <row r="94" spans="7:8" x14ac:dyDescent="0.2">
      <c r="G94" s="11"/>
      <c r="H94" s="11"/>
    </row>
    <row r="95" spans="7:8" x14ac:dyDescent="0.2">
      <c r="G95" s="11"/>
      <c r="H95" s="11"/>
    </row>
    <row r="96" spans="7:8" x14ac:dyDescent="0.2">
      <c r="G96" s="11"/>
      <c r="H96" s="11"/>
    </row>
    <row r="97" spans="7:8" x14ac:dyDescent="0.2">
      <c r="G97" s="11"/>
      <c r="H97" s="11"/>
    </row>
    <row r="98" spans="7:8" x14ac:dyDescent="0.2">
      <c r="G98" s="11"/>
      <c r="H98" s="11"/>
    </row>
    <row r="99" spans="7:8" x14ac:dyDescent="0.2">
      <c r="G99" s="11"/>
      <c r="H99" s="11"/>
    </row>
    <row r="100" spans="7:8" x14ac:dyDescent="0.2">
      <c r="G100" s="11"/>
      <c r="H100" s="11"/>
    </row>
    <row r="101" spans="7:8" x14ac:dyDescent="0.2">
      <c r="G101" s="11"/>
      <c r="H101" s="11"/>
    </row>
    <row r="102" spans="7:8" x14ac:dyDescent="0.2">
      <c r="G102" s="11"/>
      <c r="H102" s="11"/>
    </row>
    <row r="103" spans="7:8" x14ac:dyDescent="0.2">
      <c r="G103" s="11"/>
      <c r="H103" s="11"/>
    </row>
    <row r="104" spans="7:8" x14ac:dyDescent="0.2">
      <c r="G104" s="11"/>
      <c r="H104" s="11"/>
    </row>
    <row r="105" spans="7:8" x14ac:dyDescent="0.2">
      <c r="G105" s="11"/>
      <c r="H105" s="11"/>
    </row>
    <row r="106" spans="7:8" x14ac:dyDescent="0.2">
      <c r="G106" s="11"/>
      <c r="H106" s="11"/>
    </row>
    <row r="107" spans="7:8" x14ac:dyDescent="0.2">
      <c r="G107" s="11"/>
      <c r="H107" s="11"/>
    </row>
    <row r="108" spans="7:8" x14ac:dyDescent="0.2">
      <c r="G108" s="11"/>
      <c r="H108" s="11"/>
    </row>
    <row r="109" spans="7:8" x14ac:dyDescent="0.2">
      <c r="G109" s="11"/>
      <c r="H109" s="11"/>
    </row>
    <row r="110" spans="7:8" x14ac:dyDescent="0.2">
      <c r="G110" s="11"/>
      <c r="H110" s="11"/>
    </row>
    <row r="111" spans="7:8" x14ac:dyDescent="0.2">
      <c r="G111" s="11"/>
      <c r="H111" s="11"/>
    </row>
    <row r="112" spans="7:8" x14ac:dyDescent="0.2">
      <c r="G112" s="11"/>
      <c r="H112" s="11"/>
    </row>
    <row r="113" spans="7:8" x14ac:dyDescent="0.2">
      <c r="G113" s="11"/>
      <c r="H113" s="11"/>
    </row>
    <row r="114" spans="7:8" x14ac:dyDescent="0.2">
      <c r="G114" s="11"/>
      <c r="H114" s="11"/>
    </row>
    <row r="115" spans="7:8" x14ac:dyDescent="0.2">
      <c r="G115" s="11"/>
      <c r="H115" s="11"/>
    </row>
    <row r="116" spans="7:8" x14ac:dyDescent="0.2">
      <c r="G116" s="11"/>
      <c r="H116" s="11"/>
    </row>
    <row r="117" spans="7:8" x14ac:dyDescent="0.2">
      <c r="G117" s="11"/>
      <c r="H117" s="11"/>
    </row>
    <row r="118" spans="7:8" x14ac:dyDescent="0.2">
      <c r="G118" s="11"/>
      <c r="H118" s="11"/>
    </row>
    <row r="119" spans="7:8" x14ac:dyDescent="0.2">
      <c r="G119" s="11"/>
      <c r="H119" s="11"/>
    </row>
    <row r="120" spans="7:8" x14ac:dyDescent="0.2">
      <c r="G120" s="11"/>
      <c r="H120" s="11"/>
    </row>
  </sheetData>
  <conditionalFormatting sqref="F2:F120">
    <cfRule type="cellIs" dxfId="19" priority="1" operator="lessThan">
      <formula>0</formula>
    </cfRule>
    <cfRule type="cellIs" dxfId="18" priority="2" operator="greaterThan">
      <formula>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8C5C-8E13-3F4B-B05E-C67912F13629}">
  <sheetPr codeName="Sheet6"/>
  <dimension ref="A1:AT1000"/>
  <sheetViews>
    <sheetView topLeftCell="Y1" workbookViewId="0">
      <selection activeCell="AP9" sqref="AP9"/>
    </sheetView>
  </sheetViews>
  <sheetFormatPr baseColWidth="10" defaultRowHeight="16" x14ac:dyDescent="0.2"/>
  <cols>
    <col min="1" max="1" width="6.33203125" bestFit="1" customWidth="1"/>
    <col min="2" max="2" width="4.33203125" bestFit="1" customWidth="1"/>
    <col min="3" max="3" width="7" bestFit="1" customWidth="1"/>
    <col min="4" max="4" width="19.6640625" bestFit="1" customWidth="1"/>
    <col min="5" max="5" width="5.83203125" bestFit="1" customWidth="1"/>
    <col min="6" max="6" width="5.1640625" bestFit="1" customWidth="1"/>
    <col min="7" max="7" width="29.6640625" bestFit="1" customWidth="1"/>
    <col min="12" max="12" width="11.6640625" bestFit="1" customWidth="1"/>
    <col min="16" max="16" width="14.83203125" customWidth="1"/>
    <col min="19" max="19" width="29.6640625" bestFit="1" customWidth="1"/>
    <col min="29" max="29" width="11.83203125" customWidth="1"/>
    <col min="31" max="31" width="29.6640625" bestFit="1" customWidth="1"/>
  </cols>
  <sheetData>
    <row r="1" spans="1:46" x14ac:dyDescent="0.2">
      <c r="A1" t="s">
        <v>184</v>
      </c>
      <c r="B1" t="s">
        <v>261</v>
      </c>
      <c r="C1" t="s">
        <v>262</v>
      </c>
      <c r="D1" t="s">
        <v>158</v>
      </c>
      <c r="E1" t="s">
        <v>121</v>
      </c>
      <c r="F1" t="s">
        <v>122</v>
      </c>
      <c r="G1" t="s">
        <v>121</v>
      </c>
      <c r="H1" t="s">
        <v>263</v>
      </c>
      <c r="I1" t="s">
        <v>264</v>
      </c>
      <c r="J1" t="s">
        <v>344</v>
      </c>
      <c r="K1" t="s">
        <v>265</v>
      </c>
      <c r="L1" t="s">
        <v>266</v>
      </c>
      <c r="M1" t="s">
        <v>267</v>
      </c>
      <c r="N1" t="s">
        <v>268</v>
      </c>
      <c r="O1" t="s">
        <v>269</v>
      </c>
      <c r="Q1" s="17">
        <v>3</v>
      </c>
      <c r="S1" t="s">
        <v>121</v>
      </c>
      <c r="T1" t="s">
        <v>263</v>
      </c>
      <c r="U1" t="s">
        <v>264</v>
      </c>
      <c r="V1" t="s">
        <v>270</v>
      </c>
      <c r="W1" t="s">
        <v>266</v>
      </c>
      <c r="X1" t="s">
        <v>267</v>
      </c>
      <c r="Y1" t="s">
        <v>268</v>
      </c>
      <c r="Z1" t="s">
        <v>269</v>
      </c>
      <c r="AA1" t="s">
        <v>271</v>
      </c>
      <c r="AB1" t="s">
        <v>272</v>
      </c>
      <c r="AC1" t="s">
        <v>275</v>
      </c>
      <c r="AE1" t="s">
        <v>121</v>
      </c>
      <c r="AF1" t="s">
        <v>263</v>
      </c>
      <c r="AG1" t="s">
        <v>264</v>
      </c>
      <c r="AH1" t="s">
        <v>270</v>
      </c>
      <c r="AI1" t="s">
        <v>266</v>
      </c>
      <c r="AJ1" t="s">
        <v>267</v>
      </c>
      <c r="AK1" t="s">
        <v>268</v>
      </c>
      <c r="AL1" t="s">
        <v>269</v>
      </c>
      <c r="AM1" t="s">
        <v>271</v>
      </c>
      <c r="AN1" t="s">
        <v>272</v>
      </c>
      <c r="AO1" t="s">
        <v>275</v>
      </c>
    </row>
    <row r="2" spans="1:46" x14ac:dyDescent="0.2">
      <c r="A2" s="1">
        <v>1</v>
      </c>
      <c r="B2" s="1">
        <v>1</v>
      </c>
      <c r="C2" s="1">
        <v>1</v>
      </c>
      <c r="D2" s="1" t="s">
        <v>196</v>
      </c>
      <c r="E2" s="1" t="s">
        <v>549</v>
      </c>
      <c r="F2" s="1" t="s">
        <v>5</v>
      </c>
      <c r="G2" t="s">
        <v>478</v>
      </c>
      <c r="H2">
        <v>335</v>
      </c>
      <c r="I2" s="12">
        <v>89.3</v>
      </c>
      <c r="J2" s="12">
        <f>COUNTIF('Raw Data'!$G$2:$G$100001,'Draft Recap'!D2)</f>
        <v>3</v>
      </c>
      <c r="K2" s="12">
        <v>0</v>
      </c>
      <c r="L2" s="9">
        <f t="shared" ref="L2:L33" si="0">IF(I2=0,0,I2+I2/($Q$1-K2)*(18-$Q$1-1+K2))</f>
        <v>506.03333333333336</v>
      </c>
      <c r="M2" s="9">
        <f t="shared" ref="M2:M65" si="1">L2-H2</f>
        <v>171.03333333333336</v>
      </c>
      <c r="N2" s="12">
        <v>0</v>
      </c>
      <c r="O2" s="9">
        <f t="shared" ref="O2:O65" si="2">N2*(MAX($A$2:$A$211)-A2+1)/4</f>
        <v>0</v>
      </c>
      <c r="P2" s="18"/>
      <c r="S2" t="s">
        <v>545</v>
      </c>
      <c r="T2" s="10">
        <f>SUMIF($G$2:$G$211,$S2,H$2:H$211)</f>
        <v>2480</v>
      </c>
      <c r="U2" s="10">
        <f>SUMIF($G$2:$G$211,$S2,I$2:I$211)</f>
        <v>376.86</v>
      </c>
      <c r="V2" s="10">
        <f>SUMIF($G$2:$G$211,$S2,K$2:K$211)</f>
        <v>0</v>
      </c>
      <c r="W2" s="10">
        <f>SUMIF($G$2:$G$211,$S2,L$2:L$211)</f>
        <v>2135.5400000000004</v>
      </c>
      <c r="X2" s="10">
        <f>SUMIF($G$2:$G$211,$S2,M$2:M$211)</f>
        <v>-344.45999999999987</v>
      </c>
      <c r="Y2" s="10">
        <f>SUMIF($G$2:$G$211,$S2,N$2:N$211)</f>
        <v>3</v>
      </c>
      <c r="Z2" s="10">
        <f>SUMIF($G$2:$G$211,$S2,O$2:O$211)</f>
        <v>9</v>
      </c>
      <c r="AA2" s="10">
        <f ca="1">IFERROR((SUMIFS('Weekly Actual Results'!$F$2:$F$1000,'Weekly Actual Results'!$B$2:$B$1000,'Draft Recap'!$S2,'Weekly Actual Results'!$F$2:$F$1000,"&gt;0")+ABS(SUMIFS('Weekly Actual Results'!$F$2:$F$1000,'Weekly Actual Results'!$C$2:$C$1000,'Draft Recap'!$S2,'Weekly Actual Results'!$F$2:$F$1000,"&lt;0")))/(COUNTIFS('Weekly Actual Results'!$B$2:$B$1000,'Draft Recap'!$S2,'Weekly Actual Results'!$F$2:$F$1000,"&gt;0")+COUNTIFS('Weekly Actual Results'!$C$2:$C$1000,'Draft Recap'!$S2,'Weekly Actual Results'!$F$2:$F$1000,"&lt;0")),0)</f>
        <v>25.153333333333318</v>
      </c>
      <c r="AB2" s="10">
        <f ca="1">IFERROR((ABS(SUMIFS('Weekly Actual Results'!$F$2:$F$1000,'Weekly Actual Results'!$B$2:$B$1000,'Draft Recap'!$S2,'Weekly Actual Results'!$F$2:$F$1000,"&lt;0"))+ABS(SUMIFS('Weekly Actual Results'!$F$2:$F$1000,'Weekly Actual Results'!$C$2:$C$1000,'Draft Recap'!$S2,'Weekly Actual Results'!$F$2:$F$1000,"&gt;0")))/(COUNTIFS('Weekly Actual Results'!$B$2:$B$1000,'Draft Recap'!$S2,'Weekly Actual Results'!$F$2:$F$1000,"&lt;0")+COUNTIFS('Weekly Actual Results'!$C$2:$C$1000,'Draft Recap'!$S2,'Weekly Actual Results'!$F$2:$F$1000,"&gt;0")),0)</f>
        <v>0</v>
      </c>
      <c r="AC2" s="11" cm="1">
        <f t="array" aca="1" ref="AC2" ca="1">MEDIAN(_xlfn.VSTACK(_xlfn._xlws.FILTER('Weekly Actual Results'!$H$2:$H$1000,'Weekly Actual Results'!$B$2:$B$1000='Draft Recap'!S2),_xlfn._xlws.FILTER('Weekly Actual Results'!$G$2:$G$1000,'Weekly Actual Results'!$C$2:$C$1000='Draft Recap'!S2)))</f>
        <v>0.91511936339522537</v>
      </c>
      <c r="AE2" t="s">
        <v>545</v>
      </c>
      <c r="AF2" s="10">
        <v>2480</v>
      </c>
      <c r="AG2" s="10">
        <v>376.86</v>
      </c>
      <c r="AH2" s="10">
        <v>0</v>
      </c>
      <c r="AI2" s="10">
        <v>2135.5400000000004</v>
      </c>
      <c r="AJ2" s="10">
        <v>-344.45999999999987</v>
      </c>
      <c r="AK2" s="10">
        <v>3</v>
      </c>
      <c r="AL2" s="10">
        <v>9</v>
      </c>
      <c r="AM2" s="10">
        <v>25.153333333333318</v>
      </c>
      <c r="AN2" s="10">
        <v>0</v>
      </c>
      <c r="AO2" s="11">
        <v>0.91511936339522537</v>
      </c>
      <c r="AT2" s="9"/>
    </row>
    <row r="3" spans="1:46" x14ac:dyDescent="0.2">
      <c r="A3" s="1">
        <v>1</v>
      </c>
      <c r="B3" s="1">
        <v>2</v>
      </c>
      <c r="C3" s="1">
        <v>2</v>
      </c>
      <c r="D3" s="1" t="s">
        <v>186</v>
      </c>
      <c r="E3" s="1" t="s">
        <v>550</v>
      </c>
      <c r="F3" s="1" t="s">
        <v>5</v>
      </c>
      <c r="G3" t="s">
        <v>483</v>
      </c>
      <c r="H3">
        <v>314</v>
      </c>
      <c r="I3" s="12">
        <v>71.2</v>
      </c>
      <c r="J3" s="12">
        <f>COUNTIF('Raw Data'!$G$2:$G$100001,'Draft Recap'!D3)</f>
        <v>3</v>
      </c>
      <c r="K3" s="12">
        <v>0</v>
      </c>
      <c r="L3" s="9">
        <f t="shared" si="0"/>
        <v>403.46666666666664</v>
      </c>
      <c r="M3" s="9">
        <f t="shared" si="1"/>
        <v>89.46666666666664</v>
      </c>
      <c r="N3" s="12">
        <v>0</v>
      </c>
      <c r="O3" s="9">
        <f t="shared" si="2"/>
        <v>0</v>
      </c>
      <c r="P3" s="18"/>
      <c r="S3" t="s">
        <v>463</v>
      </c>
      <c r="T3" s="10">
        <f t="shared" ref="T3:T15" si="3">SUMIF($G$2:$G$211,$S3,H$2:H$211)</f>
        <v>2339</v>
      </c>
      <c r="U3" s="10">
        <f t="shared" ref="U3:U15" si="4">SUMIF($G$2:$G$211,$S3,I$2:I$211)</f>
        <v>314.36</v>
      </c>
      <c r="V3" s="10">
        <f t="shared" ref="V3:V15" si="5">SUMIF($G$2:$G$211,$S3,K$2:K$211)</f>
        <v>0</v>
      </c>
      <c r="W3" s="10">
        <f t="shared" ref="W3:W15" si="6">SUMIF($G$2:$G$211,$S3,L$2:L$211)</f>
        <v>1781.3733333333334</v>
      </c>
      <c r="X3" s="10">
        <f t="shared" ref="X3:X15" si="7">SUMIF($G$2:$G$211,$S3,M$2:M$211)</f>
        <v>-557.62666666666655</v>
      </c>
      <c r="Y3" s="10">
        <f t="shared" ref="Y3:Y15" si="8">SUMIF($G$2:$G$211,$S3,N$2:N$211)</f>
        <v>5</v>
      </c>
      <c r="Z3" s="10">
        <f t="shared" ref="Z3:Z15" si="9">SUMIF($G$2:$G$211,$S3,O$2:O$211)</f>
        <v>7.75</v>
      </c>
      <c r="AA3" s="10">
        <f ca="1">IFERROR((SUMIFS('Weekly Actual Results'!$F$2:$F$1000,'Weekly Actual Results'!$B$2:$B$1000,'Draft Recap'!$S3,'Weekly Actual Results'!$F$2:$F$1000,"&gt;0")+ABS(SUMIFS('Weekly Actual Results'!$F$2:$F$1000,'Weekly Actual Results'!$C$2:$C$1000,'Draft Recap'!$S3,'Weekly Actual Results'!$F$2:$F$1000,"&lt;0")))/(COUNTIFS('Weekly Actual Results'!$B$2:$B$1000,'Draft Recap'!$S3,'Weekly Actual Results'!$F$2:$F$1000,"&gt;0")+COUNTIFS('Weekly Actual Results'!$C$2:$C$1000,'Draft Recap'!$S3,'Weekly Actual Results'!$F$2:$F$1000,"&lt;0")),0)</f>
        <v>28.579999999999984</v>
      </c>
      <c r="AB3" s="10">
        <f ca="1">IFERROR((ABS(SUMIFS('Weekly Actual Results'!$F$2:$F$1000,'Weekly Actual Results'!$B$2:$B$1000,'Draft Recap'!$S3,'Weekly Actual Results'!$F$2:$F$1000,"&lt;0"))+ABS(SUMIFS('Weekly Actual Results'!$F$2:$F$1000,'Weekly Actual Results'!$C$2:$C$1000,'Draft Recap'!$S3,'Weekly Actual Results'!$F$2:$F$1000,"&gt;0")))/(COUNTIFS('Weekly Actual Results'!$B$2:$B$1000,'Draft Recap'!$S3,'Weekly Actual Results'!$F$2:$F$1000,"&lt;0")+COUNTIFS('Weekly Actual Results'!$C$2:$C$1000,'Draft Recap'!$S3,'Weekly Actual Results'!$F$2:$F$1000,"&gt;0")),0)</f>
        <v>36.109999999999978</v>
      </c>
      <c r="AC3" s="11" cm="1">
        <f t="array" aca="1" ref="AC3" ca="1">MEDIAN(_xlfn.VSTACK(_xlfn._xlws.FILTER('Weekly Actual Results'!$H$2:$H$1000,'Weekly Actual Results'!$B$2:$B$1000='Draft Recap'!S3),_xlfn._xlws.FILTER('Weekly Actual Results'!$G$2:$G$1000,'Weekly Actual Results'!$C$2:$C$1000='Draft Recap'!S3)))</f>
        <v>1</v>
      </c>
      <c r="AE3" t="s">
        <v>463</v>
      </c>
      <c r="AF3" s="10">
        <v>2339</v>
      </c>
      <c r="AG3" s="10">
        <v>314.36</v>
      </c>
      <c r="AH3" s="10">
        <v>0</v>
      </c>
      <c r="AI3" s="10">
        <v>1781.3733333333334</v>
      </c>
      <c r="AJ3" s="10">
        <v>-557.62666666666655</v>
      </c>
      <c r="AK3" s="10">
        <v>5</v>
      </c>
      <c r="AL3" s="10">
        <v>7.75</v>
      </c>
      <c r="AM3" s="10">
        <v>28.579999999999984</v>
      </c>
      <c r="AN3" s="10">
        <v>36.109999999999978</v>
      </c>
      <c r="AO3" s="11">
        <v>1</v>
      </c>
      <c r="AT3" s="9"/>
    </row>
    <row r="4" spans="1:46" x14ac:dyDescent="0.2">
      <c r="A4" s="1">
        <v>1</v>
      </c>
      <c r="B4" s="1">
        <v>3</v>
      </c>
      <c r="C4" s="1">
        <v>3</v>
      </c>
      <c r="D4" s="1" t="s">
        <v>113</v>
      </c>
      <c r="E4" s="1" t="s">
        <v>551</v>
      </c>
      <c r="F4" s="1" t="s">
        <v>6</v>
      </c>
      <c r="G4" t="s">
        <v>463</v>
      </c>
      <c r="H4">
        <v>277</v>
      </c>
      <c r="I4" s="12">
        <v>45.5</v>
      </c>
      <c r="J4" s="12">
        <f>COUNTIF('Raw Data'!$G$2:$G$100001,'Draft Recap'!D4)</f>
        <v>3</v>
      </c>
      <c r="K4" s="12">
        <v>0</v>
      </c>
      <c r="L4" s="9">
        <f t="shared" si="0"/>
        <v>257.83333333333331</v>
      </c>
      <c r="M4" s="9">
        <f t="shared" si="1"/>
        <v>-19.166666666666686</v>
      </c>
      <c r="N4" s="12">
        <v>0</v>
      </c>
      <c r="O4" s="9">
        <f t="shared" si="2"/>
        <v>0</v>
      </c>
      <c r="P4" s="18"/>
      <c r="S4" t="s">
        <v>468</v>
      </c>
      <c r="T4" s="10">
        <f t="shared" si="3"/>
        <v>2163</v>
      </c>
      <c r="U4" s="10">
        <f t="shared" si="4"/>
        <v>334.04</v>
      </c>
      <c r="V4" s="10">
        <f t="shared" si="5"/>
        <v>0</v>
      </c>
      <c r="W4" s="10">
        <f t="shared" si="6"/>
        <v>1786.2933333333331</v>
      </c>
      <c r="X4" s="10">
        <f t="shared" si="7"/>
        <v>-376.70666666666671</v>
      </c>
      <c r="Y4" s="10">
        <f t="shared" si="8"/>
        <v>4</v>
      </c>
      <c r="Z4" s="10">
        <f t="shared" si="9"/>
        <v>7</v>
      </c>
      <c r="AA4" s="10">
        <f ca="1">IFERROR((SUMIFS('Weekly Actual Results'!$F$2:$F$1000,'Weekly Actual Results'!$B$2:$B$1000,'Draft Recap'!$S4,'Weekly Actual Results'!$F$2:$F$1000,"&gt;0")+ABS(SUMIFS('Weekly Actual Results'!$F$2:$F$1000,'Weekly Actual Results'!$C$2:$C$1000,'Draft Recap'!$S4,'Weekly Actual Results'!$F$2:$F$1000,"&lt;0")))/(COUNTIFS('Weekly Actual Results'!$B$2:$B$1000,'Draft Recap'!$S4,'Weekly Actual Results'!$F$2:$F$1000,"&gt;0")+COUNTIFS('Weekly Actual Results'!$C$2:$C$1000,'Draft Recap'!$S4,'Weekly Actual Results'!$F$2:$F$1000,"&lt;0")),0)</f>
        <v>54.659999999999989</v>
      </c>
      <c r="AB4" s="10">
        <f ca="1">IFERROR((ABS(SUMIFS('Weekly Actual Results'!$F$2:$F$1000,'Weekly Actual Results'!$B$2:$B$1000,'Draft Recap'!$S4,'Weekly Actual Results'!$F$2:$F$1000,"&lt;0"))+ABS(SUMIFS('Weekly Actual Results'!$F$2:$F$1000,'Weekly Actual Results'!$C$2:$C$1000,'Draft Recap'!$S4,'Weekly Actual Results'!$F$2:$F$1000,"&gt;0")))/(COUNTIFS('Weekly Actual Results'!$B$2:$B$1000,'Draft Recap'!$S4,'Weekly Actual Results'!$F$2:$F$1000,"&lt;0")+COUNTIFS('Weekly Actual Results'!$C$2:$C$1000,'Draft Recap'!$S4,'Weekly Actual Results'!$F$2:$F$1000,"&gt;0")),0)</f>
        <v>53.39</v>
      </c>
      <c r="AC4" s="11" cm="1">
        <f t="array" aca="1" ref="AC4" ca="1">MEDIAN(_xlfn.VSTACK(_xlfn._xlws.FILTER('Weekly Actual Results'!$H$2:$H$1000,'Weekly Actual Results'!$B$2:$B$1000='Draft Recap'!S4),_xlfn._xlws.FILTER('Weekly Actual Results'!$G$2:$G$1000,'Weekly Actual Results'!$C$2:$C$1000='Draft Recap'!S4)))</f>
        <v>1.1144144144144146</v>
      </c>
      <c r="AE4" t="s">
        <v>468</v>
      </c>
      <c r="AF4" s="10">
        <v>2163</v>
      </c>
      <c r="AG4" s="10">
        <v>334.04</v>
      </c>
      <c r="AH4" s="10">
        <v>0</v>
      </c>
      <c r="AI4" s="10">
        <v>1786.2933333333331</v>
      </c>
      <c r="AJ4" s="10">
        <v>-376.70666666666671</v>
      </c>
      <c r="AK4" s="10">
        <v>4</v>
      </c>
      <c r="AL4" s="10">
        <v>7</v>
      </c>
      <c r="AM4" s="10">
        <v>54.659999999999989</v>
      </c>
      <c r="AN4" s="10">
        <v>53.39</v>
      </c>
      <c r="AO4" s="11">
        <v>1.1144144144144146</v>
      </c>
      <c r="AT4" s="9"/>
    </row>
    <row r="5" spans="1:46" x14ac:dyDescent="0.2">
      <c r="A5" s="1">
        <v>1</v>
      </c>
      <c r="B5" s="1">
        <v>4</v>
      </c>
      <c r="C5" s="1">
        <v>4</v>
      </c>
      <c r="D5" s="1" t="s">
        <v>203</v>
      </c>
      <c r="E5" s="1" t="s">
        <v>552</v>
      </c>
      <c r="F5" s="1" t="s">
        <v>6</v>
      </c>
      <c r="G5" t="s">
        <v>484</v>
      </c>
      <c r="H5">
        <v>293</v>
      </c>
      <c r="I5" s="12">
        <v>9.9</v>
      </c>
      <c r="J5" s="12">
        <f>COUNTIF('Raw Data'!$G$2:$G$100001,'Draft Recap'!D5)</f>
        <v>3</v>
      </c>
      <c r="K5" s="12">
        <v>0</v>
      </c>
      <c r="L5" s="9">
        <f t="shared" si="0"/>
        <v>56.1</v>
      </c>
      <c r="M5" s="9">
        <f t="shared" si="1"/>
        <v>-236.9</v>
      </c>
      <c r="N5" s="12">
        <v>2</v>
      </c>
      <c r="O5" s="9">
        <f t="shared" si="2"/>
        <v>7</v>
      </c>
      <c r="P5" s="18"/>
      <c r="S5" t="s">
        <v>469</v>
      </c>
      <c r="T5" s="10">
        <f t="shared" si="3"/>
        <v>2227</v>
      </c>
      <c r="U5" s="10">
        <f t="shared" si="4"/>
        <v>447.88</v>
      </c>
      <c r="V5" s="10">
        <f t="shared" si="5"/>
        <v>0</v>
      </c>
      <c r="W5" s="10">
        <f t="shared" si="6"/>
        <v>2537.9866666666667</v>
      </c>
      <c r="X5" s="10">
        <f t="shared" si="7"/>
        <v>310.98666666666668</v>
      </c>
      <c r="Y5" s="10">
        <f t="shared" si="8"/>
        <v>2</v>
      </c>
      <c r="Z5" s="10">
        <f t="shared" si="9"/>
        <v>4.25</v>
      </c>
      <c r="AA5" s="10">
        <f ca="1">IFERROR((SUMIFS('Weekly Actual Results'!$F$2:$F$1000,'Weekly Actual Results'!$B$2:$B$1000,'Draft Recap'!$S5,'Weekly Actual Results'!$F$2:$F$1000,"&gt;0")+ABS(SUMIFS('Weekly Actual Results'!$F$2:$F$1000,'Weekly Actual Results'!$C$2:$C$1000,'Draft Recap'!$S5,'Weekly Actual Results'!$F$2:$F$1000,"&lt;0")))/(COUNTIFS('Weekly Actual Results'!$B$2:$B$1000,'Draft Recap'!$S5,'Weekly Actual Results'!$F$2:$F$1000,"&gt;0")+COUNTIFS('Weekly Actual Results'!$C$2:$C$1000,'Draft Recap'!$S5,'Weekly Actual Results'!$F$2:$F$1000,"&lt;0")),0)</f>
        <v>36.080000000000005</v>
      </c>
      <c r="AB5" s="10">
        <f ca="1">IFERROR((ABS(SUMIFS('Weekly Actual Results'!$F$2:$F$1000,'Weekly Actual Results'!$B$2:$B$1000,'Draft Recap'!$S5,'Weekly Actual Results'!$F$2:$F$1000,"&lt;0"))+ABS(SUMIFS('Weekly Actual Results'!$F$2:$F$1000,'Weekly Actual Results'!$C$2:$C$1000,'Draft Recap'!$S5,'Weekly Actual Results'!$F$2:$F$1000,"&gt;0")))/(COUNTIFS('Weekly Actual Results'!$B$2:$B$1000,'Draft Recap'!$S5,'Weekly Actual Results'!$F$2:$F$1000,"&lt;0")+COUNTIFS('Weekly Actual Results'!$C$2:$C$1000,'Draft Recap'!$S5,'Weekly Actual Results'!$F$2:$F$1000,"&gt;0")),0)</f>
        <v>0</v>
      </c>
      <c r="AC5" s="11" cm="1">
        <f t="array" aca="1" ref="AC5" ca="1">MEDIAN(_xlfn.VSTACK(_xlfn._xlws.FILTER('Weekly Actual Results'!$H$2:$H$1000,'Weekly Actual Results'!$B$2:$B$1000='Draft Recap'!S5),_xlfn._xlws.FILTER('Weekly Actual Results'!$G$2:$G$1000,'Weekly Actual Results'!$C$2:$C$1000='Draft Recap'!S5)))</f>
        <v>1</v>
      </c>
      <c r="AE5" t="s">
        <v>469</v>
      </c>
      <c r="AF5" s="10">
        <v>2227</v>
      </c>
      <c r="AG5" s="10">
        <v>447.88</v>
      </c>
      <c r="AH5" s="10">
        <v>0</v>
      </c>
      <c r="AI5" s="10">
        <v>2537.9866666666667</v>
      </c>
      <c r="AJ5" s="10">
        <v>310.98666666666668</v>
      </c>
      <c r="AK5" s="10">
        <v>2</v>
      </c>
      <c r="AL5" s="10">
        <v>4.25</v>
      </c>
      <c r="AM5" s="10">
        <v>36.080000000000005</v>
      </c>
      <c r="AN5" s="10">
        <v>0</v>
      </c>
      <c r="AO5" s="11">
        <v>1</v>
      </c>
      <c r="AT5" s="9"/>
    </row>
    <row r="6" spans="1:46" x14ac:dyDescent="0.2">
      <c r="A6" s="1">
        <v>1</v>
      </c>
      <c r="B6" s="1">
        <v>5</v>
      </c>
      <c r="C6" s="1">
        <v>5</v>
      </c>
      <c r="D6" s="1" t="s">
        <v>348</v>
      </c>
      <c r="E6" s="1" t="s">
        <v>553</v>
      </c>
      <c r="F6" s="1" t="s">
        <v>5</v>
      </c>
      <c r="G6" t="s">
        <v>468</v>
      </c>
      <c r="H6">
        <v>263</v>
      </c>
      <c r="I6" s="12">
        <v>48.2</v>
      </c>
      <c r="J6" s="12">
        <f>COUNTIF('Raw Data'!$G$2:$G$100001,'Draft Recap'!D6)</f>
        <v>3</v>
      </c>
      <c r="K6" s="12">
        <v>0</v>
      </c>
      <c r="L6" s="9">
        <f t="shared" si="0"/>
        <v>273.13333333333333</v>
      </c>
      <c r="M6" s="9">
        <f t="shared" si="1"/>
        <v>10.133333333333326</v>
      </c>
      <c r="N6" s="12">
        <v>0</v>
      </c>
      <c r="O6" s="9">
        <f t="shared" si="2"/>
        <v>0</v>
      </c>
      <c r="P6" s="18"/>
      <c r="S6" t="s">
        <v>478</v>
      </c>
      <c r="T6" s="10">
        <f t="shared" si="3"/>
        <v>2558</v>
      </c>
      <c r="U6" s="10">
        <f t="shared" si="4"/>
        <v>455.04</v>
      </c>
      <c r="V6" s="10">
        <f t="shared" si="5"/>
        <v>0</v>
      </c>
      <c r="W6" s="10">
        <f t="shared" si="6"/>
        <v>2578.5600000000004</v>
      </c>
      <c r="X6" s="10">
        <f t="shared" si="7"/>
        <v>20.560000000000088</v>
      </c>
      <c r="Y6" s="10">
        <f t="shared" si="8"/>
        <v>0</v>
      </c>
      <c r="Z6" s="10">
        <f t="shared" si="9"/>
        <v>0</v>
      </c>
      <c r="AA6" s="10">
        <f ca="1">IFERROR((SUMIFS('Weekly Actual Results'!$F$2:$F$1000,'Weekly Actual Results'!$B$2:$B$1000,'Draft Recap'!$S6,'Weekly Actual Results'!$F$2:$F$1000,"&gt;0")+ABS(SUMIFS('Weekly Actual Results'!$F$2:$F$1000,'Weekly Actual Results'!$C$2:$C$1000,'Draft Recap'!$S6,'Weekly Actual Results'!$F$2:$F$1000,"&lt;0")))/(COUNTIFS('Weekly Actual Results'!$B$2:$B$1000,'Draft Recap'!$S6,'Weekly Actual Results'!$F$2:$F$1000,"&gt;0")+COUNTIFS('Weekly Actual Results'!$C$2:$C$1000,'Draft Recap'!$S6,'Weekly Actual Results'!$F$2:$F$1000,"&lt;0")),0)</f>
        <v>16.919999999999987</v>
      </c>
      <c r="AB6" s="10">
        <f ca="1">IFERROR((ABS(SUMIFS('Weekly Actual Results'!$F$2:$F$1000,'Weekly Actual Results'!$B$2:$B$1000,'Draft Recap'!$S6,'Weekly Actual Results'!$F$2:$F$1000,"&lt;0"))+ABS(SUMIFS('Weekly Actual Results'!$F$2:$F$1000,'Weekly Actual Results'!$C$2:$C$1000,'Draft Recap'!$S6,'Weekly Actual Results'!$F$2:$F$1000,"&gt;0")))/(COUNTIFS('Weekly Actual Results'!$B$2:$B$1000,'Draft Recap'!$S6,'Weekly Actual Results'!$F$2:$F$1000,"&lt;0")+COUNTIFS('Weekly Actual Results'!$C$2:$C$1000,'Draft Recap'!$S6,'Weekly Actual Results'!$F$2:$F$1000,"&gt;0")),0)</f>
        <v>7.8600000000000136</v>
      </c>
      <c r="AC6" s="11" cm="1">
        <f t="array" aca="1" ref="AC6" ca="1">MEDIAN(_xlfn.VSTACK(_xlfn._xlws.FILTER('Weekly Actual Results'!$H$2:$H$1000,'Weekly Actual Results'!$B$2:$B$1000='Draft Recap'!S6),_xlfn._xlws.FILTER('Weekly Actual Results'!$G$2:$G$1000,'Weekly Actual Results'!$C$2:$C$1000='Draft Recap'!S6)))</f>
        <v>1</v>
      </c>
      <c r="AE6" t="s">
        <v>478</v>
      </c>
      <c r="AF6" s="10">
        <v>2558</v>
      </c>
      <c r="AG6" s="10">
        <v>455.04</v>
      </c>
      <c r="AH6" s="10">
        <v>0</v>
      </c>
      <c r="AI6" s="10">
        <v>2578.5600000000004</v>
      </c>
      <c r="AJ6" s="10">
        <v>20.560000000000088</v>
      </c>
      <c r="AK6" s="10">
        <v>0</v>
      </c>
      <c r="AL6" s="10">
        <v>0</v>
      </c>
      <c r="AM6" s="10">
        <v>16.919999999999987</v>
      </c>
      <c r="AN6" s="10">
        <v>7.8600000000000136</v>
      </c>
      <c r="AO6" s="11">
        <v>1</v>
      </c>
      <c r="AT6" s="9"/>
    </row>
    <row r="7" spans="1:46" x14ac:dyDescent="0.2">
      <c r="A7" s="1">
        <v>1</v>
      </c>
      <c r="B7" s="1">
        <v>6</v>
      </c>
      <c r="C7" s="1">
        <v>6</v>
      </c>
      <c r="D7" s="1" t="s">
        <v>93</v>
      </c>
      <c r="E7" s="1" t="s">
        <v>554</v>
      </c>
      <c r="F7" s="1" t="s">
        <v>5</v>
      </c>
      <c r="G7" t="s">
        <v>545</v>
      </c>
      <c r="H7">
        <v>291</v>
      </c>
      <c r="I7" s="12">
        <v>59</v>
      </c>
      <c r="J7" s="12">
        <f>COUNTIF('Raw Data'!$G$2:$G$100001,'Draft Recap'!D7)</f>
        <v>3</v>
      </c>
      <c r="K7" s="12">
        <v>0</v>
      </c>
      <c r="L7" s="9">
        <f t="shared" si="0"/>
        <v>334.33333333333337</v>
      </c>
      <c r="M7" s="9">
        <f t="shared" si="1"/>
        <v>43.333333333333371</v>
      </c>
      <c r="N7" s="12">
        <v>0</v>
      </c>
      <c r="O7" s="9">
        <f t="shared" si="2"/>
        <v>0</v>
      </c>
      <c r="P7" s="18"/>
      <c r="S7" t="s">
        <v>309</v>
      </c>
      <c r="T7" s="10">
        <f t="shared" si="3"/>
        <v>2178</v>
      </c>
      <c r="U7" s="10">
        <f t="shared" si="4"/>
        <v>414.46000000000004</v>
      </c>
      <c r="V7" s="10">
        <f t="shared" si="5"/>
        <v>0</v>
      </c>
      <c r="W7" s="10">
        <f t="shared" si="6"/>
        <v>2348.6066666666666</v>
      </c>
      <c r="X7" s="10">
        <f t="shared" si="7"/>
        <v>170.60666666666671</v>
      </c>
      <c r="Y7" s="10">
        <f t="shared" si="8"/>
        <v>1</v>
      </c>
      <c r="Z7" s="10">
        <f t="shared" si="9"/>
        <v>2</v>
      </c>
      <c r="AA7" s="10">
        <f ca="1">IFERROR((SUMIFS('Weekly Actual Results'!$F$2:$F$1000,'Weekly Actual Results'!$B$2:$B$1000,'Draft Recap'!$S7,'Weekly Actual Results'!$F$2:$F$1000,"&gt;0")+ABS(SUMIFS('Weekly Actual Results'!$F$2:$F$1000,'Weekly Actual Results'!$C$2:$C$1000,'Draft Recap'!$S7,'Weekly Actual Results'!$F$2:$F$1000,"&lt;0")))/(COUNTIFS('Weekly Actual Results'!$B$2:$B$1000,'Draft Recap'!$S7,'Weekly Actual Results'!$F$2:$F$1000,"&gt;0")+COUNTIFS('Weekly Actual Results'!$C$2:$C$1000,'Draft Recap'!$S7,'Weekly Actual Results'!$F$2:$F$1000,"&lt;0")),0)</f>
        <v>22.360000000000014</v>
      </c>
      <c r="AB7" s="10">
        <f ca="1">IFERROR((ABS(SUMIFS('Weekly Actual Results'!$F$2:$F$1000,'Weekly Actual Results'!$B$2:$B$1000,'Draft Recap'!$S7,'Weekly Actual Results'!$F$2:$F$1000,"&lt;0"))+ABS(SUMIFS('Weekly Actual Results'!$F$2:$F$1000,'Weekly Actual Results'!$C$2:$C$1000,'Draft Recap'!$S7,'Weekly Actual Results'!$F$2:$F$1000,"&gt;0")))/(COUNTIFS('Weekly Actual Results'!$B$2:$B$1000,'Draft Recap'!$S7,'Weekly Actual Results'!$F$2:$F$1000,"&lt;0")+COUNTIFS('Weekly Actual Results'!$C$2:$C$1000,'Draft Recap'!$S7,'Weekly Actual Results'!$F$2:$F$1000,"&gt;0")),0)</f>
        <v>22.08</v>
      </c>
      <c r="AC7" s="11" cm="1">
        <f t="array" aca="1" ref="AC7" ca="1">MEDIAN(_xlfn.VSTACK(_xlfn._xlws.FILTER('Weekly Actual Results'!$H$2:$H$1000,'Weekly Actual Results'!$B$2:$B$1000='Draft Recap'!S7),_xlfn._xlws.FILTER('Weekly Actual Results'!$G$2:$G$1000,'Weekly Actual Results'!$C$2:$C$1000='Draft Recap'!S7)))</f>
        <v>1.0616324264297612</v>
      </c>
      <c r="AE7" t="s">
        <v>309</v>
      </c>
      <c r="AF7" s="10">
        <v>2178</v>
      </c>
      <c r="AG7" s="10">
        <v>414.46000000000004</v>
      </c>
      <c r="AH7" s="10">
        <v>0</v>
      </c>
      <c r="AI7" s="10">
        <v>2348.6066666666666</v>
      </c>
      <c r="AJ7" s="10">
        <v>170.60666666666671</v>
      </c>
      <c r="AK7" s="10">
        <v>1</v>
      </c>
      <c r="AL7" s="10">
        <v>2</v>
      </c>
      <c r="AM7" s="10">
        <v>22.360000000000014</v>
      </c>
      <c r="AN7" s="10">
        <v>22.08</v>
      </c>
      <c r="AO7" s="11">
        <v>1.0616324264297612</v>
      </c>
      <c r="AT7" s="9"/>
    </row>
    <row r="8" spans="1:46" x14ac:dyDescent="0.2">
      <c r="A8" s="1">
        <v>1</v>
      </c>
      <c r="B8" s="1">
        <v>7</v>
      </c>
      <c r="C8" s="1">
        <v>7</v>
      </c>
      <c r="D8" s="1" t="s">
        <v>77</v>
      </c>
      <c r="E8" s="1" t="s">
        <v>549</v>
      </c>
      <c r="F8" s="1" t="s">
        <v>6</v>
      </c>
      <c r="G8" t="s">
        <v>308</v>
      </c>
      <c r="H8">
        <v>265</v>
      </c>
      <c r="I8" s="12">
        <v>64.3</v>
      </c>
      <c r="J8" s="12">
        <f>COUNTIF('Raw Data'!$G$2:$G$100001,'Draft Recap'!D8)</f>
        <v>3</v>
      </c>
      <c r="K8" s="12">
        <v>0</v>
      </c>
      <c r="L8" s="9">
        <f t="shared" si="0"/>
        <v>364.36666666666667</v>
      </c>
      <c r="M8" s="9">
        <f t="shared" si="1"/>
        <v>99.366666666666674</v>
      </c>
      <c r="N8" s="12">
        <v>0</v>
      </c>
      <c r="O8" s="9">
        <f t="shared" si="2"/>
        <v>0</v>
      </c>
      <c r="P8" s="18"/>
      <c r="S8" t="s">
        <v>483</v>
      </c>
      <c r="T8" s="10">
        <f t="shared" si="3"/>
        <v>2425</v>
      </c>
      <c r="U8" s="10">
        <f t="shared" si="4"/>
        <v>398.46000000000004</v>
      </c>
      <c r="V8" s="10">
        <f t="shared" si="5"/>
        <v>0</v>
      </c>
      <c r="W8" s="10">
        <f t="shared" si="6"/>
        <v>2257.94</v>
      </c>
      <c r="X8" s="10">
        <f t="shared" si="7"/>
        <v>-167.06000000000009</v>
      </c>
      <c r="Y8" s="10">
        <f t="shared" si="8"/>
        <v>2</v>
      </c>
      <c r="Z8" s="10">
        <f t="shared" si="9"/>
        <v>1.25</v>
      </c>
      <c r="AA8" s="10">
        <f ca="1">IFERROR((SUMIFS('Weekly Actual Results'!$F$2:$F$1000,'Weekly Actual Results'!$B$2:$B$1000,'Draft Recap'!$S8,'Weekly Actual Results'!$F$2:$F$1000,"&gt;0")+ABS(SUMIFS('Weekly Actual Results'!$F$2:$F$1000,'Weekly Actual Results'!$C$2:$C$1000,'Draft Recap'!$S8,'Weekly Actual Results'!$F$2:$F$1000,"&lt;0")))/(COUNTIFS('Weekly Actual Results'!$B$2:$B$1000,'Draft Recap'!$S8,'Weekly Actual Results'!$F$2:$F$1000,"&gt;0")+COUNTIFS('Weekly Actual Results'!$C$2:$C$1000,'Draft Recap'!$S8,'Weekly Actual Results'!$F$2:$F$1000,"&lt;0")),0)</f>
        <v>37.039999999999992</v>
      </c>
      <c r="AB8" s="10">
        <f ca="1">IFERROR((ABS(SUMIFS('Weekly Actual Results'!$F$2:$F$1000,'Weekly Actual Results'!$B$2:$B$1000,'Draft Recap'!$S8,'Weekly Actual Results'!$F$2:$F$1000,"&lt;0"))+ABS(SUMIFS('Weekly Actual Results'!$F$2:$F$1000,'Weekly Actual Results'!$C$2:$C$1000,'Draft Recap'!$S8,'Weekly Actual Results'!$F$2:$F$1000,"&gt;0")))/(COUNTIFS('Weekly Actual Results'!$B$2:$B$1000,'Draft Recap'!$S8,'Weekly Actual Results'!$F$2:$F$1000,"&lt;0")+COUNTIFS('Weekly Actual Results'!$C$2:$C$1000,'Draft Recap'!$S8,'Weekly Actual Results'!$F$2:$F$1000,"&gt;0")),0)</f>
        <v>35.499999999999986</v>
      </c>
      <c r="AC8" s="11" cm="1">
        <f t="array" aca="1" ref="AC8" ca="1">MEDIAN(_xlfn.VSTACK(_xlfn._xlws.FILTER('Weekly Actual Results'!$H$2:$H$1000,'Weekly Actual Results'!$B$2:$B$1000='Draft Recap'!S8),_xlfn._xlws.FILTER('Weekly Actual Results'!$G$2:$G$1000,'Weekly Actual Results'!$C$2:$C$1000='Draft Recap'!S8)))</f>
        <v>1</v>
      </c>
      <c r="AE8" t="s">
        <v>483</v>
      </c>
      <c r="AF8" s="10">
        <v>2425</v>
      </c>
      <c r="AG8" s="10">
        <v>398.46000000000004</v>
      </c>
      <c r="AH8" s="10">
        <v>0</v>
      </c>
      <c r="AI8" s="10">
        <v>2257.94</v>
      </c>
      <c r="AJ8" s="10">
        <v>-167.06000000000009</v>
      </c>
      <c r="AK8" s="10">
        <v>2</v>
      </c>
      <c r="AL8" s="10">
        <v>1.25</v>
      </c>
      <c r="AM8" s="10">
        <v>37.039999999999992</v>
      </c>
      <c r="AN8" s="10">
        <v>35.499999999999986</v>
      </c>
      <c r="AO8" s="11">
        <v>1</v>
      </c>
      <c r="AT8" s="9"/>
    </row>
    <row r="9" spans="1:46" x14ac:dyDescent="0.2">
      <c r="A9" s="1">
        <v>1</v>
      </c>
      <c r="B9" s="1">
        <v>8</v>
      </c>
      <c r="C9" s="1">
        <v>8</v>
      </c>
      <c r="D9" s="1" t="s">
        <v>187</v>
      </c>
      <c r="E9" s="1" t="s">
        <v>555</v>
      </c>
      <c r="F9" s="1" t="s">
        <v>6</v>
      </c>
      <c r="G9" t="s">
        <v>309</v>
      </c>
      <c r="H9">
        <v>269</v>
      </c>
      <c r="I9" s="12">
        <v>90.56</v>
      </c>
      <c r="J9" s="12">
        <f>COUNTIF('Raw Data'!$G$2:$G$100001,'Draft Recap'!D9)</f>
        <v>3</v>
      </c>
      <c r="K9" s="12">
        <v>0</v>
      </c>
      <c r="L9" s="9">
        <f t="shared" si="0"/>
        <v>513.1733333333334</v>
      </c>
      <c r="M9" s="9">
        <f t="shared" si="1"/>
        <v>244.1733333333334</v>
      </c>
      <c r="N9" s="12">
        <v>0</v>
      </c>
      <c r="O9" s="9">
        <f t="shared" si="2"/>
        <v>0</v>
      </c>
      <c r="P9" s="18"/>
      <c r="S9" t="s">
        <v>484</v>
      </c>
      <c r="T9" s="10">
        <f t="shared" si="3"/>
        <v>2523</v>
      </c>
      <c r="U9" s="10">
        <f t="shared" si="4"/>
        <v>419.79999999999995</v>
      </c>
      <c r="V9" s="10">
        <f t="shared" si="5"/>
        <v>0</v>
      </c>
      <c r="W9" s="10">
        <f t="shared" si="6"/>
        <v>2378.8666666666668</v>
      </c>
      <c r="X9" s="10">
        <f t="shared" si="7"/>
        <v>-144.13333333333333</v>
      </c>
      <c r="Y9" s="10">
        <f t="shared" si="8"/>
        <v>2</v>
      </c>
      <c r="Z9" s="10">
        <f t="shared" si="9"/>
        <v>7</v>
      </c>
      <c r="AA9" s="10">
        <f ca="1">IFERROR((SUMIFS('Weekly Actual Results'!$F$2:$F$1000,'Weekly Actual Results'!$B$2:$B$1000,'Draft Recap'!$S9,'Weekly Actual Results'!$F$2:$F$1000,"&gt;0")+ABS(SUMIFS('Weekly Actual Results'!$F$2:$F$1000,'Weekly Actual Results'!$C$2:$C$1000,'Draft Recap'!$S9,'Weekly Actual Results'!$F$2:$F$1000,"&lt;0")))/(COUNTIFS('Weekly Actual Results'!$B$2:$B$1000,'Draft Recap'!$S9,'Weekly Actual Results'!$F$2:$F$1000,"&gt;0")+COUNTIFS('Weekly Actual Results'!$C$2:$C$1000,'Draft Recap'!$S9,'Weekly Actual Results'!$F$2:$F$1000,"&lt;0")),0)</f>
        <v>34.44</v>
      </c>
      <c r="AB9" s="10">
        <f ca="1">IFERROR((ABS(SUMIFS('Weekly Actual Results'!$F$2:$F$1000,'Weekly Actual Results'!$B$2:$B$1000,'Draft Recap'!$S9,'Weekly Actual Results'!$F$2:$F$1000,"&lt;0"))+ABS(SUMIFS('Weekly Actual Results'!$F$2:$F$1000,'Weekly Actual Results'!$C$2:$C$1000,'Draft Recap'!$S9,'Weekly Actual Results'!$F$2:$F$1000,"&gt;0")))/(COUNTIFS('Weekly Actual Results'!$B$2:$B$1000,'Draft Recap'!$S9,'Weekly Actual Results'!$F$2:$F$1000,"&lt;0")+COUNTIFS('Weekly Actual Results'!$C$2:$C$1000,'Draft Recap'!$S9,'Weekly Actual Results'!$F$2:$F$1000,"&gt;0")),0)</f>
        <v>26.449999999999982</v>
      </c>
      <c r="AC9" s="11" cm="1">
        <f t="array" aca="1" ref="AC9" ca="1">MEDIAN(_xlfn.VSTACK(_xlfn._xlws.FILTER('Weekly Actual Results'!$H$2:$H$1000,'Weekly Actual Results'!$B$2:$B$1000='Draft Recap'!S9),_xlfn._xlws.FILTER('Weekly Actual Results'!$G$2:$G$1000,'Weekly Actual Results'!$C$2:$C$1000='Draft Recap'!S9)))</f>
        <v>1</v>
      </c>
      <c r="AE9" t="s">
        <v>484</v>
      </c>
      <c r="AF9" s="10">
        <v>2523</v>
      </c>
      <c r="AG9" s="10">
        <v>419.79999999999995</v>
      </c>
      <c r="AH9" s="10">
        <v>0</v>
      </c>
      <c r="AI9" s="10">
        <v>2378.8666666666668</v>
      </c>
      <c r="AJ9" s="10">
        <v>-144.13333333333333</v>
      </c>
      <c r="AK9" s="10">
        <v>2</v>
      </c>
      <c r="AL9" s="10">
        <v>7</v>
      </c>
      <c r="AM9" s="10">
        <v>34.44</v>
      </c>
      <c r="AN9" s="10">
        <v>26.449999999999982</v>
      </c>
      <c r="AO9" s="11">
        <v>1</v>
      </c>
      <c r="AT9" s="9"/>
    </row>
    <row r="10" spans="1:46" x14ac:dyDescent="0.2">
      <c r="A10" s="1">
        <v>1</v>
      </c>
      <c r="B10" s="1">
        <v>9</v>
      </c>
      <c r="C10" s="1">
        <v>9</v>
      </c>
      <c r="D10" s="1" t="s">
        <v>84</v>
      </c>
      <c r="E10" s="1" t="s">
        <v>556</v>
      </c>
      <c r="F10" s="1" t="s">
        <v>5</v>
      </c>
      <c r="G10" t="s">
        <v>469</v>
      </c>
      <c r="H10">
        <v>302</v>
      </c>
      <c r="I10" s="12">
        <v>51.5</v>
      </c>
      <c r="J10" s="12">
        <f>COUNTIF('Raw Data'!$G$2:$G$100001,'Draft Recap'!D10)</f>
        <v>3</v>
      </c>
      <c r="K10" s="12">
        <v>0</v>
      </c>
      <c r="L10" s="9">
        <f t="shared" si="0"/>
        <v>291.83333333333337</v>
      </c>
      <c r="M10" s="9">
        <f t="shared" si="1"/>
        <v>-10.166666666666629</v>
      </c>
      <c r="N10" s="12">
        <v>0</v>
      </c>
      <c r="O10" s="9">
        <f t="shared" si="2"/>
        <v>0</v>
      </c>
      <c r="P10" s="18"/>
      <c r="S10" t="s">
        <v>256</v>
      </c>
      <c r="T10" s="10">
        <f t="shared" si="3"/>
        <v>2298</v>
      </c>
      <c r="U10" s="10">
        <f t="shared" si="4"/>
        <v>352.8</v>
      </c>
      <c r="V10" s="10">
        <f t="shared" si="5"/>
        <v>0</v>
      </c>
      <c r="W10" s="10">
        <f t="shared" si="6"/>
        <v>1999.1999999999998</v>
      </c>
      <c r="X10" s="10">
        <f t="shared" si="7"/>
        <v>-298.8</v>
      </c>
      <c r="Y10" s="10">
        <f t="shared" si="8"/>
        <v>1</v>
      </c>
      <c r="Z10" s="10">
        <f t="shared" si="9"/>
        <v>2</v>
      </c>
      <c r="AA10" s="10">
        <f ca="1">IFERROR((SUMIFS('Weekly Actual Results'!$F$2:$F$1000,'Weekly Actual Results'!$B$2:$B$1000,'Draft Recap'!$S10,'Weekly Actual Results'!$F$2:$F$1000,"&gt;0")+ABS(SUMIFS('Weekly Actual Results'!$F$2:$F$1000,'Weekly Actual Results'!$C$2:$C$1000,'Draft Recap'!$S10,'Weekly Actual Results'!$F$2:$F$1000,"&lt;0")))/(COUNTIFS('Weekly Actual Results'!$B$2:$B$1000,'Draft Recap'!$S10,'Weekly Actual Results'!$F$2:$F$1000,"&gt;0")+COUNTIFS('Weekly Actual Results'!$C$2:$C$1000,'Draft Recap'!$S10,'Weekly Actual Results'!$F$2:$F$1000,"&lt;0")),0)</f>
        <v>29.780000000000015</v>
      </c>
      <c r="AB10" s="10">
        <f ca="1">IFERROR((ABS(SUMIFS('Weekly Actual Results'!$F$2:$F$1000,'Weekly Actual Results'!$B$2:$B$1000,'Draft Recap'!$S10,'Weekly Actual Results'!$F$2:$F$1000,"&lt;0"))+ABS(SUMIFS('Weekly Actual Results'!$F$2:$F$1000,'Weekly Actual Results'!$C$2:$C$1000,'Draft Recap'!$S10,'Weekly Actual Results'!$F$2:$F$1000,"&gt;0")))/(COUNTIFS('Weekly Actual Results'!$B$2:$B$1000,'Draft Recap'!$S10,'Weekly Actual Results'!$F$2:$F$1000,"&lt;0")+COUNTIFS('Weekly Actual Results'!$C$2:$C$1000,'Draft Recap'!$S10,'Weekly Actual Results'!$F$2:$F$1000,"&gt;0")),0)</f>
        <v>31.379999999999995</v>
      </c>
      <c r="AC10" s="11" cm="1">
        <f t="array" aca="1" ref="AC10" ca="1">MEDIAN(_xlfn.VSTACK(_xlfn._xlws.FILTER('Weekly Actual Results'!$H$2:$H$1000,'Weekly Actual Results'!$B$2:$B$1000='Draft Recap'!S10),_xlfn._xlws.FILTER('Weekly Actual Results'!$G$2:$G$1000,'Weekly Actual Results'!$C$2:$C$1000='Draft Recap'!S10)))</f>
        <v>0.94539544962080146</v>
      </c>
      <c r="AE10" t="s">
        <v>256</v>
      </c>
      <c r="AF10" s="10">
        <v>2298</v>
      </c>
      <c r="AG10" s="10">
        <v>352.8</v>
      </c>
      <c r="AH10" s="10">
        <v>0</v>
      </c>
      <c r="AI10" s="10">
        <v>1999.1999999999998</v>
      </c>
      <c r="AJ10" s="10">
        <v>-298.8</v>
      </c>
      <c r="AK10" s="10">
        <v>1</v>
      </c>
      <c r="AL10" s="10">
        <v>2</v>
      </c>
      <c r="AM10" s="10">
        <v>29.780000000000015</v>
      </c>
      <c r="AN10" s="10">
        <v>31.379999999999995</v>
      </c>
      <c r="AO10" s="11">
        <v>0.94539544962080146</v>
      </c>
      <c r="AT10" s="9"/>
    </row>
    <row r="11" spans="1:46" x14ac:dyDescent="0.2">
      <c r="A11" s="1">
        <v>1</v>
      </c>
      <c r="B11" s="1">
        <v>10</v>
      </c>
      <c r="C11" s="1">
        <v>10</v>
      </c>
      <c r="D11" s="1" t="s">
        <v>38</v>
      </c>
      <c r="E11" s="1" t="s">
        <v>557</v>
      </c>
      <c r="F11" s="1" t="s">
        <v>6</v>
      </c>
      <c r="G11" t="s">
        <v>499</v>
      </c>
      <c r="H11">
        <v>239</v>
      </c>
      <c r="I11" s="12">
        <v>38.4</v>
      </c>
      <c r="J11" s="12">
        <f>COUNTIF('Raw Data'!$G$2:$G$100001,'Draft Recap'!D11)</f>
        <v>3</v>
      </c>
      <c r="K11" s="12">
        <v>0</v>
      </c>
      <c r="L11" s="9">
        <f t="shared" si="0"/>
        <v>217.6</v>
      </c>
      <c r="M11" s="9">
        <f t="shared" si="1"/>
        <v>-21.400000000000006</v>
      </c>
      <c r="N11" s="12">
        <v>0</v>
      </c>
      <c r="O11" s="9">
        <f t="shared" si="2"/>
        <v>0</v>
      </c>
      <c r="P11" s="18"/>
      <c r="S11" t="s">
        <v>343</v>
      </c>
      <c r="T11" s="10">
        <f t="shared" si="3"/>
        <v>2433</v>
      </c>
      <c r="U11" s="10">
        <f t="shared" si="4"/>
        <v>364.40000000000003</v>
      </c>
      <c r="V11" s="10">
        <f t="shared" si="5"/>
        <v>0</v>
      </c>
      <c r="W11" s="10">
        <f t="shared" si="6"/>
        <v>2064.9333333333334</v>
      </c>
      <c r="X11" s="10">
        <f t="shared" si="7"/>
        <v>-368.06666666666661</v>
      </c>
      <c r="Y11" s="10">
        <f t="shared" si="8"/>
        <v>0</v>
      </c>
      <c r="Z11" s="10">
        <f t="shared" si="9"/>
        <v>0</v>
      </c>
      <c r="AA11" s="10">
        <f ca="1">IFERROR((SUMIFS('Weekly Actual Results'!$F$2:$F$1000,'Weekly Actual Results'!$B$2:$B$1000,'Draft Recap'!$S11,'Weekly Actual Results'!$F$2:$F$1000,"&gt;0")+ABS(SUMIFS('Weekly Actual Results'!$F$2:$F$1000,'Weekly Actual Results'!$C$2:$C$1000,'Draft Recap'!$S11,'Weekly Actual Results'!$F$2:$F$1000,"&lt;0")))/(COUNTIFS('Weekly Actual Results'!$B$2:$B$1000,'Draft Recap'!$S11,'Weekly Actual Results'!$F$2:$F$1000,"&gt;0")+COUNTIFS('Weekly Actual Results'!$C$2:$C$1000,'Draft Recap'!$S11,'Weekly Actual Results'!$F$2:$F$1000,"&lt;0")),0)</f>
        <v>0</v>
      </c>
      <c r="AB11" s="10">
        <f ca="1">IFERROR((ABS(SUMIFS('Weekly Actual Results'!$F$2:$F$1000,'Weekly Actual Results'!$B$2:$B$1000,'Draft Recap'!$S11,'Weekly Actual Results'!$F$2:$F$1000,"&lt;0"))+ABS(SUMIFS('Weekly Actual Results'!$F$2:$F$1000,'Weekly Actual Results'!$C$2:$C$1000,'Draft Recap'!$S11,'Weekly Actual Results'!$F$2:$F$1000,"&gt;0")))/(COUNTIFS('Weekly Actual Results'!$B$2:$B$1000,'Draft Recap'!$S11,'Weekly Actual Results'!$F$2:$F$1000,"&lt;0")+COUNTIFS('Weekly Actual Results'!$C$2:$C$1000,'Draft Recap'!$S11,'Weekly Actual Results'!$F$2:$F$1000,"&gt;0")),0)</f>
        <v>32.76</v>
      </c>
      <c r="AC11" s="11" cm="1">
        <f t="array" aca="1" ref="AC11" ca="1">MEDIAN(_xlfn.VSTACK(_xlfn._xlws.FILTER('Weekly Actual Results'!$H$2:$H$1000,'Weekly Actual Results'!$B$2:$B$1000='Draft Recap'!S11),_xlfn._xlws.FILTER('Weekly Actual Results'!$G$2:$G$1000,'Weekly Actual Results'!$C$2:$C$1000='Draft Recap'!S11)))</f>
        <v>1.3359858532272322</v>
      </c>
      <c r="AE11" t="s">
        <v>343</v>
      </c>
      <c r="AF11" s="10">
        <v>2433</v>
      </c>
      <c r="AG11" s="10">
        <v>364.40000000000003</v>
      </c>
      <c r="AH11" s="10">
        <v>0</v>
      </c>
      <c r="AI11" s="10">
        <v>2064.9333333333334</v>
      </c>
      <c r="AJ11" s="10">
        <v>-368.06666666666661</v>
      </c>
      <c r="AK11" s="10">
        <v>0</v>
      </c>
      <c r="AL11" s="10">
        <v>0</v>
      </c>
      <c r="AM11" s="10">
        <v>0</v>
      </c>
      <c r="AN11" s="10">
        <v>32.76</v>
      </c>
      <c r="AO11" s="11">
        <v>1.3359858532272322</v>
      </c>
      <c r="AT11" s="9"/>
    </row>
    <row r="12" spans="1:46" x14ac:dyDescent="0.2">
      <c r="A12" s="1">
        <v>1</v>
      </c>
      <c r="B12" s="1">
        <v>11</v>
      </c>
      <c r="C12" s="1">
        <v>11</v>
      </c>
      <c r="D12" s="1" t="s">
        <v>67</v>
      </c>
      <c r="E12" s="1" t="s">
        <v>558</v>
      </c>
      <c r="F12" s="1" t="s">
        <v>6</v>
      </c>
      <c r="G12" t="s">
        <v>255</v>
      </c>
      <c r="H12">
        <v>243</v>
      </c>
      <c r="I12" s="12">
        <v>60.9</v>
      </c>
      <c r="J12" s="12">
        <f>COUNTIF('Raw Data'!$G$2:$G$100001,'Draft Recap'!D12)</f>
        <v>3</v>
      </c>
      <c r="K12" s="12">
        <v>0</v>
      </c>
      <c r="L12" s="9">
        <f t="shared" si="0"/>
        <v>345.09999999999997</v>
      </c>
      <c r="M12" s="9">
        <f t="shared" si="1"/>
        <v>102.09999999999997</v>
      </c>
      <c r="N12" s="12">
        <v>0</v>
      </c>
      <c r="O12" s="9">
        <f t="shared" si="2"/>
        <v>0</v>
      </c>
      <c r="P12" s="18"/>
      <c r="S12" t="s">
        <v>308</v>
      </c>
      <c r="T12" s="10">
        <f t="shared" si="3"/>
        <v>2486</v>
      </c>
      <c r="U12" s="10">
        <f t="shared" si="4"/>
        <v>438.14</v>
      </c>
      <c r="V12" s="10">
        <f t="shared" si="5"/>
        <v>0</v>
      </c>
      <c r="W12" s="10">
        <f t="shared" si="6"/>
        <v>2482.7933333333331</v>
      </c>
      <c r="X12" s="10">
        <f t="shared" si="7"/>
        <v>-3.2066666666667629</v>
      </c>
      <c r="Y12" s="10">
        <f t="shared" si="8"/>
        <v>3</v>
      </c>
      <c r="Z12" s="10">
        <f t="shared" si="9"/>
        <v>8.75</v>
      </c>
      <c r="AA12" s="10">
        <f ca="1">IFERROR((SUMIFS('Weekly Actual Results'!$F$2:$F$1000,'Weekly Actual Results'!$B$2:$B$1000,'Draft Recap'!$S12,'Weekly Actual Results'!$F$2:$F$1000,"&gt;0")+ABS(SUMIFS('Weekly Actual Results'!$F$2:$F$1000,'Weekly Actual Results'!$C$2:$C$1000,'Draft Recap'!$S12,'Weekly Actual Results'!$F$2:$F$1000,"&lt;0")))/(COUNTIFS('Weekly Actual Results'!$B$2:$B$1000,'Draft Recap'!$S12,'Weekly Actual Results'!$F$2:$F$1000,"&gt;0")+COUNTIFS('Weekly Actual Results'!$C$2:$C$1000,'Draft Recap'!$S12,'Weekly Actual Results'!$F$2:$F$1000,"&lt;0")),0)</f>
        <v>31.29</v>
      </c>
      <c r="AB12" s="10">
        <f ca="1">IFERROR((ABS(SUMIFS('Weekly Actual Results'!$F$2:$F$1000,'Weekly Actual Results'!$B$2:$B$1000,'Draft Recap'!$S12,'Weekly Actual Results'!$F$2:$F$1000,"&lt;0"))+ABS(SUMIFS('Weekly Actual Results'!$F$2:$F$1000,'Weekly Actual Results'!$C$2:$C$1000,'Draft Recap'!$S12,'Weekly Actual Results'!$F$2:$F$1000,"&gt;0")))/(COUNTIFS('Weekly Actual Results'!$B$2:$B$1000,'Draft Recap'!$S12,'Weekly Actual Results'!$F$2:$F$1000,"&lt;0")+COUNTIFS('Weekly Actual Results'!$C$2:$C$1000,'Draft Recap'!$S12,'Weekly Actual Results'!$F$2:$F$1000,"&gt;0")),0)</f>
        <v>7.539999999999992</v>
      </c>
      <c r="AC12" s="11" cm="1">
        <f t="array" aca="1" ref="AC12" ca="1">MEDIAN(_xlfn.VSTACK(_xlfn._xlws.FILTER('Weekly Actual Results'!$H$2:$H$1000,'Weekly Actual Results'!$B$2:$B$1000='Draft Recap'!S12),_xlfn._xlws.FILTER('Weekly Actual Results'!$G$2:$G$1000,'Weekly Actual Results'!$C$2:$C$1000='Draft Recap'!S12)))</f>
        <v>0.913171305370443</v>
      </c>
      <c r="AE12" t="s">
        <v>308</v>
      </c>
      <c r="AF12" s="10">
        <v>2486</v>
      </c>
      <c r="AG12" s="10">
        <v>438.14</v>
      </c>
      <c r="AH12" s="10">
        <v>0</v>
      </c>
      <c r="AI12" s="10">
        <v>2482.7933333333331</v>
      </c>
      <c r="AJ12" s="10">
        <v>-3.2066666666667629</v>
      </c>
      <c r="AK12" s="10">
        <v>3</v>
      </c>
      <c r="AL12" s="10">
        <v>8.75</v>
      </c>
      <c r="AM12" s="10">
        <v>31.29</v>
      </c>
      <c r="AN12" s="10">
        <v>7.539999999999992</v>
      </c>
      <c r="AO12" s="11">
        <v>0.913171305370443</v>
      </c>
      <c r="AT12" s="9"/>
    </row>
    <row r="13" spans="1:46" x14ac:dyDescent="0.2">
      <c r="A13" s="1">
        <v>1</v>
      </c>
      <c r="B13" s="1">
        <v>12</v>
      </c>
      <c r="C13" s="1">
        <v>12</v>
      </c>
      <c r="D13" s="1" t="s">
        <v>74</v>
      </c>
      <c r="E13" s="1" t="s">
        <v>559</v>
      </c>
      <c r="F13" s="1" t="s">
        <v>5</v>
      </c>
      <c r="G13" t="s">
        <v>494</v>
      </c>
      <c r="H13">
        <v>252</v>
      </c>
      <c r="I13" s="12">
        <v>19.5</v>
      </c>
      <c r="J13" s="12">
        <f>COUNTIF('Raw Data'!$G$2:$G$100001,'Draft Recap'!D13)</f>
        <v>3</v>
      </c>
      <c r="K13" s="12">
        <v>0</v>
      </c>
      <c r="L13" s="9">
        <f t="shared" si="0"/>
        <v>110.5</v>
      </c>
      <c r="M13" s="9">
        <f t="shared" si="1"/>
        <v>-141.5</v>
      </c>
      <c r="N13" s="12">
        <v>0</v>
      </c>
      <c r="O13" s="9">
        <f t="shared" si="2"/>
        <v>0</v>
      </c>
      <c r="P13" s="18"/>
      <c r="S13" t="s">
        <v>494</v>
      </c>
      <c r="T13" s="10">
        <f t="shared" si="3"/>
        <v>2483</v>
      </c>
      <c r="U13" s="10">
        <f t="shared" si="4"/>
        <v>341.38</v>
      </c>
      <c r="V13" s="10">
        <f t="shared" si="5"/>
        <v>0</v>
      </c>
      <c r="W13" s="10">
        <f t="shared" si="6"/>
        <v>1934.4866666666667</v>
      </c>
      <c r="X13" s="10">
        <f t="shared" si="7"/>
        <v>-548.51333333333321</v>
      </c>
      <c r="Y13" s="10">
        <f t="shared" si="8"/>
        <v>3</v>
      </c>
      <c r="Z13" s="10">
        <f t="shared" si="9"/>
        <v>3.75</v>
      </c>
      <c r="AA13" s="10">
        <f ca="1">IFERROR((SUMIFS('Weekly Actual Results'!$F$2:$F$1000,'Weekly Actual Results'!$B$2:$B$1000,'Draft Recap'!$S13,'Weekly Actual Results'!$F$2:$F$1000,"&gt;0")+ABS(SUMIFS('Weekly Actual Results'!$F$2:$F$1000,'Weekly Actual Results'!$C$2:$C$1000,'Draft Recap'!$S13,'Weekly Actual Results'!$F$2:$F$1000,"&lt;0")))/(COUNTIFS('Weekly Actual Results'!$B$2:$B$1000,'Draft Recap'!$S13,'Weekly Actual Results'!$F$2:$F$1000,"&gt;0")+COUNTIFS('Weekly Actual Results'!$C$2:$C$1000,'Draft Recap'!$S13,'Weekly Actual Results'!$F$2:$F$1000,"&lt;0")),0)</f>
        <v>0</v>
      </c>
      <c r="AB13" s="10">
        <f ca="1">IFERROR((ABS(SUMIFS('Weekly Actual Results'!$F$2:$F$1000,'Weekly Actual Results'!$B$2:$B$1000,'Draft Recap'!$S13,'Weekly Actual Results'!$F$2:$F$1000,"&lt;0"))+ABS(SUMIFS('Weekly Actual Results'!$F$2:$F$1000,'Weekly Actual Results'!$C$2:$C$1000,'Draft Recap'!$S13,'Weekly Actual Results'!$F$2:$F$1000,"&gt;0")))/(COUNTIFS('Weekly Actual Results'!$B$2:$B$1000,'Draft Recap'!$S13,'Weekly Actual Results'!$F$2:$F$1000,"&lt;0")+COUNTIFS('Weekly Actual Results'!$C$2:$C$1000,'Draft Recap'!$S13,'Weekly Actual Results'!$F$2:$F$1000,"&gt;0")),0)</f>
        <v>34.920000000000009</v>
      </c>
      <c r="AC13" s="11" cm="1">
        <f t="array" aca="1" ref="AC13" ca="1">MEDIAN(_xlfn.VSTACK(_xlfn._xlws.FILTER('Weekly Actual Results'!$H$2:$H$1000,'Weekly Actual Results'!$B$2:$B$1000='Draft Recap'!S13),_xlfn._xlws.FILTER('Weekly Actual Results'!$G$2:$G$1000,'Weekly Actual Results'!$C$2:$C$1000='Draft Recap'!S13)))</f>
        <v>1.0472273004265695</v>
      </c>
      <c r="AE13" t="s">
        <v>494</v>
      </c>
      <c r="AF13" s="10">
        <v>2483</v>
      </c>
      <c r="AG13" s="10">
        <v>341.38</v>
      </c>
      <c r="AH13" s="10">
        <v>0</v>
      </c>
      <c r="AI13" s="10">
        <v>1934.4866666666667</v>
      </c>
      <c r="AJ13" s="10">
        <v>-548.51333333333321</v>
      </c>
      <c r="AK13" s="10">
        <v>3</v>
      </c>
      <c r="AL13" s="10">
        <v>3.75</v>
      </c>
      <c r="AM13" s="10">
        <v>0</v>
      </c>
      <c r="AN13" s="10">
        <v>34.920000000000009</v>
      </c>
      <c r="AO13" s="11">
        <v>1.0472273004265695</v>
      </c>
      <c r="AT13" s="9"/>
    </row>
    <row r="14" spans="1:46" x14ac:dyDescent="0.2">
      <c r="A14" s="1">
        <v>1</v>
      </c>
      <c r="B14" s="1">
        <v>13</v>
      </c>
      <c r="C14" s="1">
        <v>13</v>
      </c>
      <c r="D14" s="1" t="s">
        <v>316</v>
      </c>
      <c r="E14" s="1" t="s">
        <v>560</v>
      </c>
      <c r="F14" s="1" t="s">
        <v>5</v>
      </c>
      <c r="G14" t="s">
        <v>256</v>
      </c>
      <c r="H14">
        <v>236</v>
      </c>
      <c r="I14" s="12">
        <v>30.4</v>
      </c>
      <c r="J14" s="12">
        <f>COUNTIF('Raw Data'!$G$2:$G$100001,'Draft Recap'!D14)</f>
        <v>3</v>
      </c>
      <c r="K14" s="12">
        <v>0</v>
      </c>
      <c r="L14" s="9">
        <f t="shared" si="0"/>
        <v>172.26666666666668</v>
      </c>
      <c r="M14" s="9">
        <f t="shared" si="1"/>
        <v>-63.73333333333332</v>
      </c>
      <c r="N14" s="12">
        <v>0</v>
      </c>
      <c r="O14" s="9">
        <f t="shared" si="2"/>
        <v>0</v>
      </c>
      <c r="P14" s="18"/>
      <c r="S14" t="s">
        <v>499</v>
      </c>
      <c r="T14" s="10">
        <f t="shared" si="3"/>
        <v>2360</v>
      </c>
      <c r="U14" s="10">
        <f t="shared" si="4"/>
        <v>405.48</v>
      </c>
      <c r="V14" s="10">
        <f t="shared" si="5"/>
        <v>0</v>
      </c>
      <c r="W14" s="10">
        <f t="shared" si="6"/>
        <v>2297.7200000000003</v>
      </c>
      <c r="X14" s="10">
        <f t="shared" si="7"/>
        <v>-62.280000000000058</v>
      </c>
      <c r="Y14" s="10">
        <f t="shared" si="8"/>
        <v>3</v>
      </c>
      <c r="Z14" s="10">
        <f t="shared" si="9"/>
        <v>9</v>
      </c>
      <c r="AA14" s="10">
        <f ca="1">IFERROR((SUMIFS('Weekly Actual Results'!$F$2:$F$1000,'Weekly Actual Results'!$B$2:$B$1000,'Draft Recap'!$S14,'Weekly Actual Results'!$F$2:$F$1000,"&gt;0")+ABS(SUMIFS('Weekly Actual Results'!$F$2:$F$1000,'Weekly Actual Results'!$C$2:$C$1000,'Draft Recap'!$S14,'Weekly Actual Results'!$F$2:$F$1000,"&lt;0")))/(COUNTIFS('Weekly Actual Results'!$B$2:$B$1000,'Draft Recap'!$S14,'Weekly Actual Results'!$F$2:$F$1000,"&gt;0")+COUNTIFS('Weekly Actual Results'!$C$2:$C$1000,'Draft Recap'!$S14,'Weekly Actual Results'!$F$2:$F$1000,"&lt;0")),0)</f>
        <v>40.049999999999976</v>
      </c>
      <c r="AB14" s="10">
        <f ca="1">IFERROR((ABS(SUMIFS('Weekly Actual Results'!$F$2:$F$1000,'Weekly Actual Results'!$B$2:$B$1000,'Draft Recap'!$S14,'Weekly Actual Results'!$F$2:$F$1000,"&lt;0"))+ABS(SUMIFS('Weekly Actual Results'!$F$2:$F$1000,'Weekly Actual Results'!$C$2:$C$1000,'Draft Recap'!$S14,'Weekly Actual Results'!$F$2:$F$1000,"&gt;0")))/(COUNTIFS('Weekly Actual Results'!$B$2:$B$1000,'Draft Recap'!$S14,'Weekly Actual Results'!$F$2:$F$1000,"&lt;0")+COUNTIFS('Weekly Actual Results'!$C$2:$C$1000,'Draft Recap'!$S14,'Weekly Actual Results'!$F$2:$F$1000,"&gt;0")),0)</f>
        <v>24.300000000000011</v>
      </c>
      <c r="AC14" s="11" cm="1">
        <f t="array" aca="1" ref="AC14" ca="1">MEDIAN(_xlfn.VSTACK(_xlfn._xlws.FILTER('Weekly Actual Results'!$H$2:$H$1000,'Weekly Actual Results'!$B$2:$B$1000='Draft Recap'!S14),_xlfn._xlws.FILTER('Weekly Actual Results'!$G$2:$G$1000,'Weekly Actual Results'!$C$2:$C$1000='Draft Recap'!S14)))</f>
        <v>1</v>
      </c>
      <c r="AE14" t="s">
        <v>499</v>
      </c>
      <c r="AF14" s="13">
        <v>2360</v>
      </c>
      <c r="AG14" s="13">
        <v>405.48</v>
      </c>
      <c r="AH14" s="13">
        <v>0</v>
      </c>
      <c r="AI14" s="13">
        <v>2297.7200000000003</v>
      </c>
      <c r="AJ14" s="13">
        <v>-62.280000000000058</v>
      </c>
      <c r="AK14" s="13">
        <v>3</v>
      </c>
      <c r="AL14" s="13">
        <v>9</v>
      </c>
      <c r="AM14" s="13">
        <v>40.049999999999976</v>
      </c>
      <c r="AN14" s="13">
        <v>24.300000000000011</v>
      </c>
      <c r="AO14" s="15">
        <v>1</v>
      </c>
      <c r="AT14" s="9"/>
    </row>
    <row r="15" spans="1:46" x14ac:dyDescent="0.2">
      <c r="A15" s="1">
        <v>1</v>
      </c>
      <c r="B15" s="1">
        <v>14</v>
      </c>
      <c r="C15" s="1">
        <v>14</v>
      </c>
      <c r="D15" s="1" t="s">
        <v>65</v>
      </c>
      <c r="E15" s="1" t="s">
        <v>561</v>
      </c>
      <c r="F15" s="1" t="s">
        <v>5</v>
      </c>
      <c r="G15" t="s">
        <v>343</v>
      </c>
      <c r="H15">
        <v>268</v>
      </c>
      <c r="I15" s="12">
        <v>72.400000000000006</v>
      </c>
      <c r="J15" s="12">
        <f>COUNTIF('Raw Data'!$G$2:$G$100001,'Draft Recap'!D15)</f>
        <v>3</v>
      </c>
      <c r="K15" s="12">
        <v>0</v>
      </c>
      <c r="L15" s="9">
        <f t="shared" si="0"/>
        <v>410.26666666666677</v>
      </c>
      <c r="M15" s="9">
        <f t="shared" si="1"/>
        <v>142.26666666666677</v>
      </c>
      <c r="N15" s="12">
        <v>0</v>
      </c>
      <c r="O15" s="9">
        <f t="shared" si="2"/>
        <v>0</v>
      </c>
      <c r="P15" s="18"/>
      <c r="S15" t="s">
        <v>255</v>
      </c>
      <c r="T15" s="10">
        <f t="shared" si="3"/>
        <v>2408</v>
      </c>
      <c r="U15" s="10">
        <f t="shared" si="4"/>
        <v>400.88000000000005</v>
      </c>
      <c r="V15" s="10">
        <f t="shared" si="5"/>
        <v>0</v>
      </c>
      <c r="W15" s="10">
        <f t="shared" si="6"/>
        <v>2271.6533333333332</v>
      </c>
      <c r="X15" s="10">
        <f t="shared" si="7"/>
        <v>-136.34666666666672</v>
      </c>
      <c r="Y15" s="10">
        <f t="shared" si="8"/>
        <v>0</v>
      </c>
      <c r="Z15" s="10">
        <f t="shared" si="9"/>
        <v>0</v>
      </c>
      <c r="AA15" s="10">
        <f ca="1">IFERROR((SUMIFS('Weekly Actual Results'!$F$2:$F$1000,'Weekly Actual Results'!$B$2:$B$1000,'Draft Recap'!$S15,'Weekly Actual Results'!$F$2:$F$1000,"&gt;0")+ABS(SUMIFS('Weekly Actual Results'!$F$2:$F$1000,'Weekly Actual Results'!$C$2:$C$1000,'Draft Recap'!$S15,'Weekly Actual Results'!$F$2:$F$1000,"&lt;0")))/(COUNTIFS('Weekly Actual Results'!$B$2:$B$1000,'Draft Recap'!$S15,'Weekly Actual Results'!$F$2:$F$1000,"&gt;0")+COUNTIFS('Weekly Actual Results'!$C$2:$C$1000,'Draft Recap'!$S15,'Weekly Actual Results'!$F$2:$F$1000,"&lt;0")),0)</f>
        <v>0</v>
      </c>
      <c r="AB15" s="10">
        <f ca="1">IFERROR((ABS(SUMIFS('Weekly Actual Results'!$F$2:$F$1000,'Weekly Actual Results'!$B$2:$B$1000,'Draft Recap'!$S15,'Weekly Actual Results'!$F$2:$F$1000,"&lt;0"))+ABS(SUMIFS('Weekly Actual Results'!$F$2:$F$1000,'Weekly Actual Results'!$C$2:$C$1000,'Draft Recap'!$S15,'Weekly Actual Results'!$F$2:$F$1000,"&gt;0")))/(COUNTIFS('Weekly Actual Results'!$B$2:$B$1000,'Draft Recap'!$S15,'Weekly Actual Results'!$F$2:$F$1000,"&lt;0")+COUNTIFS('Weekly Actual Results'!$C$2:$C$1000,'Draft Recap'!$S15,'Weekly Actual Results'!$F$2:$F$1000,"&gt;0")),0)</f>
        <v>30.886666666666656</v>
      </c>
      <c r="AC15" s="11" cm="1">
        <f t="array" aca="1" ref="AC15" ca="1">MEDIAN(_xlfn.VSTACK(_xlfn._xlws.FILTER('Weekly Actual Results'!$H$2:$H$1000,'Weekly Actual Results'!$B$2:$B$1000='Draft Recap'!S15),_xlfn._xlws.FILTER('Weekly Actual Results'!$G$2:$G$1000,'Weekly Actual Results'!$C$2:$C$1000='Draft Recap'!S15)))</f>
        <v>1.0489965397923877</v>
      </c>
      <c r="AE15" t="s">
        <v>255</v>
      </c>
      <c r="AF15" s="13">
        <v>2408</v>
      </c>
      <c r="AG15" s="13">
        <v>400.88000000000005</v>
      </c>
      <c r="AH15" s="13">
        <v>0</v>
      </c>
      <c r="AI15" s="13">
        <v>2271.6533333333332</v>
      </c>
      <c r="AJ15" s="13">
        <v>-136.34666666666672</v>
      </c>
      <c r="AK15" s="13">
        <v>0</v>
      </c>
      <c r="AL15" s="13">
        <v>0</v>
      </c>
      <c r="AM15" s="13">
        <v>0</v>
      </c>
      <c r="AN15" s="13">
        <v>30.886666666666656</v>
      </c>
      <c r="AO15" s="15">
        <v>1.0489965397923877</v>
      </c>
      <c r="AT15" s="9"/>
    </row>
    <row r="16" spans="1:46" x14ac:dyDescent="0.2">
      <c r="A16" s="1">
        <v>2</v>
      </c>
      <c r="B16" s="1">
        <v>1</v>
      </c>
      <c r="C16" s="1">
        <v>15</v>
      </c>
      <c r="D16" s="1" t="s">
        <v>215</v>
      </c>
      <c r="E16" s="1" t="s">
        <v>562</v>
      </c>
      <c r="F16" s="1" t="s">
        <v>5</v>
      </c>
      <c r="G16" t="s">
        <v>343</v>
      </c>
      <c r="H16">
        <v>261</v>
      </c>
      <c r="I16" s="12">
        <v>21.1</v>
      </c>
      <c r="J16" s="12">
        <f>COUNTIF('Raw Data'!$G$2:$G$100001,'Draft Recap'!D16)</f>
        <v>3</v>
      </c>
      <c r="K16" s="12">
        <v>0</v>
      </c>
      <c r="L16" s="9">
        <f t="shared" si="0"/>
        <v>119.56666666666669</v>
      </c>
      <c r="M16" s="9">
        <f t="shared" si="1"/>
        <v>-141.43333333333331</v>
      </c>
      <c r="N16" s="12">
        <v>0</v>
      </c>
      <c r="O16" s="9">
        <f t="shared" si="2"/>
        <v>0</v>
      </c>
      <c r="P16" s="18"/>
    </row>
    <row r="17" spans="1:16" x14ac:dyDescent="0.2">
      <c r="A17" s="1">
        <v>2</v>
      </c>
      <c r="B17" s="1">
        <v>2</v>
      </c>
      <c r="C17" s="1">
        <v>16</v>
      </c>
      <c r="D17" s="1" t="s">
        <v>208</v>
      </c>
      <c r="E17" s="1" t="s">
        <v>551</v>
      </c>
      <c r="F17" s="1" t="s">
        <v>5</v>
      </c>
      <c r="G17" t="s">
        <v>256</v>
      </c>
      <c r="H17">
        <v>240</v>
      </c>
      <c r="I17" s="12">
        <v>33.9</v>
      </c>
      <c r="J17" s="12">
        <f>COUNTIF('Raw Data'!$G$2:$G$100001,'Draft Recap'!D17)</f>
        <v>3</v>
      </c>
      <c r="K17" s="12">
        <v>0</v>
      </c>
      <c r="L17" s="9">
        <f t="shared" si="0"/>
        <v>192.1</v>
      </c>
      <c r="M17" s="9">
        <f t="shared" si="1"/>
        <v>-47.900000000000006</v>
      </c>
      <c r="N17" s="12">
        <v>0</v>
      </c>
      <c r="O17" s="9">
        <f t="shared" si="2"/>
        <v>0</v>
      </c>
      <c r="P17" s="18"/>
    </row>
    <row r="18" spans="1:16" x14ac:dyDescent="0.2">
      <c r="A18" s="1">
        <v>2</v>
      </c>
      <c r="B18" s="1">
        <v>3</v>
      </c>
      <c r="C18" s="1">
        <v>17</v>
      </c>
      <c r="D18" s="1" t="s">
        <v>117</v>
      </c>
      <c r="E18" s="1" t="s">
        <v>550</v>
      </c>
      <c r="F18" s="1" t="s">
        <v>6</v>
      </c>
      <c r="G18" t="s">
        <v>494</v>
      </c>
      <c r="H18">
        <v>218</v>
      </c>
      <c r="I18" s="12">
        <v>35.299999999999997</v>
      </c>
      <c r="J18" s="12">
        <f>COUNTIF('Raw Data'!$G$2:$G$100001,'Draft Recap'!D18)</f>
        <v>3</v>
      </c>
      <c r="K18" s="12">
        <v>0</v>
      </c>
      <c r="L18" s="9">
        <f t="shared" si="0"/>
        <v>200.0333333333333</v>
      </c>
      <c r="M18" s="9">
        <f t="shared" si="1"/>
        <v>-17.966666666666697</v>
      </c>
      <c r="N18" s="12">
        <v>0</v>
      </c>
      <c r="O18" s="9">
        <f t="shared" si="2"/>
        <v>0</v>
      </c>
      <c r="P18" s="18"/>
    </row>
    <row r="19" spans="1:16" x14ac:dyDescent="0.2">
      <c r="A19" s="1">
        <v>2</v>
      </c>
      <c r="B19" s="1">
        <v>4</v>
      </c>
      <c r="C19" s="1">
        <v>18</v>
      </c>
      <c r="D19" s="1" t="s">
        <v>503</v>
      </c>
      <c r="E19" s="1" t="s">
        <v>563</v>
      </c>
      <c r="F19" s="1" t="s">
        <v>5</v>
      </c>
      <c r="G19" t="s">
        <v>255</v>
      </c>
      <c r="H19">
        <v>244</v>
      </c>
      <c r="I19" s="12">
        <v>37.4</v>
      </c>
      <c r="J19" s="12">
        <f>COUNTIF('Raw Data'!$G$2:$G$100001,'Draft Recap'!D19)</f>
        <v>3</v>
      </c>
      <c r="K19" s="12">
        <v>0</v>
      </c>
      <c r="L19" s="9">
        <f t="shared" si="0"/>
        <v>211.93333333333334</v>
      </c>
      <c r="M19" s="9">
        <f t="shared" si="1"/>
        <v>-32.066666666666663</v>
      </c>
      <c r="N19" s="12">
        <v>0</v>
      </c>
      <c r="O19" s="9">
        <f t="shared" si="2"/>
        <v>0</v>
      </c>
      <c r="P19" s="18"/>
    </row>
    <row r="20" spans="1:16" x14ac:dyDescent="0.2">
      <c r="A20" s="1">
        <v>2</v>
      </c>
      <c r="B20" s="1">
        <v>5</v>
      </c>
      <c r="C20" s="1">
        <v>19</v>
      </c>
      <c r="D20" s="1" t="s">
        <v>216</v>
      </c>
      <c r="E20" s="1" t="s">
        <v>564</v>
      </c>
      <c r="F20" s="1" t="s">
        <v>6</v>
      </c>
      <c r="G20" t="s">
        <v>499</v>
      </c>
      <c r="H20">
        <v>205</v>
      </c>
      <c r="I20" s="12">
        <v>17.7</v>
      </c>
      <c r="J20" s="12">
        <f>COUNTIF('Raw Data'!$G$2:$G$100001,'Draft Recap'!D20)</f>
        <v>3</v>
      </c>
      <c r="K20" s="12">
        <v>0</v>
      </c>
      <c r="L20" s="9">
        <f t="shared" si="0"/>
        <v>100.3</v>
      </c>
      <c r="M20" s="9">
        <f t="shared" si="1"/>
        <v>-104.7</v>
      </c>
      <c r="N20" s="12">
        <v>2</v>
      </c>
      <c r="O20" s="9">
        <f t="shared" si="2"/>
        <v>6.5</v>
      </c>
      <c r="P20" s="18"/>
    </row>
    <row r="21" spans="1:16" x14ac:dyDescent="0.2">
      <c r="A21" s="1">
        <v>2</v>
      </c>
      <c r="B21" s="1">
        <v>6</v>
      </c>
      <c r="C21" s="1">
        <v>20</v>
      </c>
      <c r="D21" s="1" t="s">
        <v>147</v>
      </c>
      <c r="E21" s="1" t="s">
        <v>565</v>
      </c>
      <c r="F21" s="1" t="s">
        <v>5</v>
      </c>
      <c r="G21" t="s">
        <v>469</v>
      </c>
      <c r="H21">
        <v>249</v>
      </c>
      <c r="I21" s="12">
        <v>73.7</v>
      </c>
      <c r="J21" s="12">
        <f>COUNTIF('Raw Data'!$G$2:$G$100001,'Draft Recap'!D21)</f>
        <v>3</v>
      </c>
      <c r="K21" s="12">
        <v>0</v>
      </c>
      <c r="L21" s="9">
        <f t="shared" si="0"/>
        <v>417.63333333333333</v>
      </c>
      <c r="M21" s="9">
        <f t="shared" si="1"/>
        <v>168.63333333333333</v>
      </c>
      <c r="N21" s="12">
        <v>0</v>
      </c>
      <c r="O21" s="9">
        <f t="shared" si="2"/>
        <v>0</v>
      </c>
      <c r="P21" s="18"/>
    </row>
    <row r="22" spans="1:16" x14ac:dyDescent="0.2">
      <c r="A22" s="1">
        <v>2</v>
      </c>
      <c r="B22" s="1">
        <v>7</v>
      </c>
      <c r="C22" s="1">
        <v>21</v>
      </c>
      <c r="D22" s="1" t="s">
        <v>310</v>
      </c>
      <c r="E22" s="1" t="s">
        <v>566</v>
      </c>
      <c r="F22" s="1" t="s">
        <v>5</v>
      </c>
      <c r="G22" t="s">
        <v>309</v>
      </c>
      <c r="H22">
        <v>247</v>
      </c>
      <c r="I22" s="12">
        <v>48.8</v>
      </c>
      <c r="J22" s="12">
        <f>COUNTIF('Raw Data'!$G$2:$G$100001,'Draft Recap'!D22)</f>
        <v>3</v>
      </c>
      <c r="K22" s="12">
        <v>0</v>
      </c>
      <c r="L22" s="9">
        <f t="shared" si="0"/>
        <v>276.5333333333333</v>
      </c>
      <c r="M22" s="9">
        <f t="shared" si="1"/>
        <v>29.533333333333303</v>
      </c>
      <c r="N22" s="12">
        <v>0</v>
      </c>
      <c r="O22" s="9">
        <f t="shared" si="2"/>
        <v>0</v>
      </c>
      <c r="P22" s="18"/>
    </row>
    <row r="23" spans="1:16" x14ac:dyDescent="0.2">
      <c r="A23" s="1">
        <v>2</v>
      </c>
      <c r="B23" s="1">
        <v>8</v>
      </c>
      <c r="C23" s="1">
        <v>22</v>
      </c>
      <c r="D23" s="1" t="s">
        <v>29</v>
      </c>
      <c r="E23" s="1" t="s">
        <v>567</v>
      </c>
      <c r="F23" s="1" t="s">
        <v>6</v>
      </c>
      <c r="G23" t="s">
        <v>308</v>
      </c>
      <c r="H23">
        <v>206</v>
      </c>
      <c r="I23" s="12">
        <v>4.0999999999999996</v>
      </c>
      <c r="J23" s="12">
        <f>COUNTIF('Raw Data'!$G$2:$G$100001,'Draft Recap'!D23)</f>
        <v>3</v>
      </c>
      <c r="K23" s="12">
        <v>0</v>
      </c>
      <c r="L23" s="9">
        <f t="shared" si="0"/>
        <v>23.233333333333327</v>
      </c>
      <c r="M23" s="9">
        <f t="shared" si="1"/>
        <v>-182.76666666666668</v>
      </c>
      <c r="N23" s="12">
        <v>2</v>
      </c>
      <c r="O23" s="9">
        <f t="shared" si="2"/>
        <v>6.5</v>
      </c>
      <c r="P23" s="18"/>
    </row>
    <row r="24" spans="1:16" x14ac:dyDescent="0.2">
      <c r="A24" s="1">
        <v>2</v>
      </c>
      <c r="B24" s="1">
        <v>9</v>
      </c>
      <c r="C24" s="1">
        <v>23</v>
      </c>
      <c r="D24" s="1" t="s">
        <v>218</v>
      </c>
      <c r="E24" s="1" t="s">
        <v>566</v>
      </c>
      <c r="F24" s="1" t="s">
        <v>9</v>
      </c>
      <c r="G24" t="s">
        <v>545</v>
      </c>
      <c r="H24">
        <v>179</v>
      </c>
      <c r="I24" s="12">
        <v>22.6</v>
      </c>
      <c r="J24" s="12">
        <f>COUNTIF('Raw Data'!$G$2:$G$100001,'Draft Recap'!D24)</f>
        <v>3</v>
      </c>
      <c r="K24" s="12">
        <v>0</v>
      </c>
      <c r="L24" s="9">
        <f t="shared" si="0"/>
        <v>128.06666666666669</v>
      </c>
      <c r="M24" s="9">
        <f t="shared" si="1"/>
        <v>-50.933333333333309</v>
      </c>
      <c r="N24" s="12">
        <v>2</v>
      </c>
      <c r="O24" s="9">
        <f t="shared" si="2"/>
        <v>6.5</v>
      </c>
      <c r="P24" s="18"/>
    </row>
    <row r="25" spans="1:16" x14ac:dyDescent="0.2">
      <c r="A25" s="1">
        <v>2</v>
      </c>
      <c r="B25" s="1">
        <v>10</v>
      </c>
      <c r="C25" s="1">
        <v>24</v>
      </c>
      <c r="D25" s="1" t="s">
        <v>49</v>
      </c>
      <c r="E25" s="1" t="s">
        <v>553</v>
      </c>
      <c r="F25" s="1" t="s">
        <v>4</v>
      </c>
      <c r="G25" t="s">
        <v>468</v>
      </c>
      <c r="H25">
        <v>370</v>
      </c>
      <c r="I25" s="12">
        <v>93.44</v>
      </c>
      <c r="J25" s="12">
        <f>COUNTIF('Raw Data'!$G$2:$G$100001,'Draft Recap'!D25)</f>
        <v>3</v>
      </c>
      <c r="K25" s="12">
        <v>0</v>
      </c>
      <c r="L25" s="9">
        <f t="shared" si="0"/>
        <v>529.49333333333334</v>
      </c>
      <c r="M25" s="9">
        <f t="shared" si="1"/>
        <v>159.49333333333334</v>
      </c>
      <c r="N25" s="12">
        <v>0</v>
      </c>
      <c r="O25" s="9">
        <f t="shared" si="2"/>
        <v>0</v>
      </c>
      <c r="P25" s="18"/>
    </row>
    <row r="26" spans="1:16" x14ac:dyDescent="0.2">
      <c r="A26" s="1">
        <v>2</v>
      </c>
      <c r="B26" s="1">
        <v>11</v>
      </c>
      <c r="C26" s="1">
        <v>25</v>
      </c>
      <c r="D26" s="1" t="s">
        <v>167</v>
      </c>
      <c r="E26" s="1" t="s">
        <v>552</v>
      </c>
      <c r="F26" s="1" t="s">
        <v>5</v>
      </c>
      <c r="G26" t="s">
        <v>484</v>
      </c>
      <c r="H26">
        <v>216</v>
      </c>
      <c r="I26" s="12">
        <v>47.5</v>
      </c>
      <c r="J26" s="12">
        <f>COUNTIF('Raw Data'!$G$2:$G$100001,'Draft Recap'!D26)</f>
        <v>3</v>
      </c>
      <c r="K26" s="12">
        <v>0</v>
      </c>
      <c r="L26" s="9">
        <f t="shared" si="0"/>
        <v>269.16666666666669</v>
      </c>
      <c r="M26" s="9">
        <f t="shared" si="1"/>
        <v>53.166666666666686</v>
      </c>
      <c r="N26" s="12">
        <v>0</v>
      </c>
      <c r="O26" s="9">
        <f t="shared" si="2"/>
        <v>0</v>
      </c>
      <c r="P26" s="18"/>
    </row>
    <row r="27" spans="1:16" x14ac:dyDescent="0.2">
      <c r="A27" s="1">
        <v>2</v>
      </c>
      <c r="B27" s="1">
        <v>12</v>
      </c>
      <c r="C27" s="1">
        <v>26</v>
      </c>
      <c r="D27" s="1" t="s">
        <v>17</v>
      </c>
      <c r="E27" s="1" t="s">
        <v>568</v>
      </c>
      <c r="F27" s="1" t="s">
        <v>5</v>
      </c>
      <c r="G27" t="s">
        <v>463</v>
      </c>
      <c r="H27">
        <v>248</v>
      </c>
      <c r="I27" s="12">
        <v>37.5</v>
      </c>
      <c r="J27" s="12">
        <f>COUNTIF('Raw Data'!$G$2:$G$100001,'Draft Recap'!D27)</f>
        <v>3</v>
      </c>
      <c r="K27" s="12">
        <v>0</v>
      </c>
      <c r="L27" s="9">
        <f t="shared" si="0"/>
        <v>212.5</v>
      </c>
      <c r="M27" s="9">
        <f t="shared" si="1"/>
        <v>-35.5</v>
      </c>
      <c r="N27" s="12">
        <v>0</v>
      </c>
      <c r="O27" s="9">
        <f t="shared" si="2"/>
        <v>0</v>
      </c>
      <c r="P27" s="18"/>
    </row>
    <row r="28" spans="1:16" x14ac:dyDescent="0.2">
      <c r="A28" s="1">
        <v>2</v>
      </c>
      <c r="B28" s="1">
        <v>13</v>
      </c>
      <c r="C28" s="1">
        <v>27</v>
      </c>
      <c r="D28" s="1" t="s">
        <v>50</v>
      </c>
      <c r="E28" s="1" t="s">
        <v>558</v>
      </c>
      <c r="F28" s="1" t="s">
        <v>5</v>
      </c>
      <c r="G28" t="s">
        <v>483</v>
      </c>
      <c r="H28">
        <v>241</v>
      </c>
      <c r="I28" s="12">
        <v>45.5</v>
      </c>
      <c r="J28" s="12">
        <f>COUNTIF('Raw Data'!$G$2:$G$100001,'Draft Recap'!D28)</f>
        <v>3</v>
      </c>
      <c r="K28" s="12">
        <v>0</v>
      </c>
      <c r="L28" s="9">
        <f t="shared" si="0"/>
        <v>257.83333333333331</v>
      </c>
      <c r="M28" s="9">
        <f t="shared" si="1"/>
        <v>16.833333333333314</v>
      </c>
      <c r="N28" s="12">
        <v>0</v>
      </c>
      <c r="O28" s="9">
        <f t="shared" si="2"/>
        <v>0</v>
      </c>
      <c r="P28" s="18"/>
    </row>
    <row r="29" spans="1:16" x14ac:dyDescent="0.2">
      <c r="A29" s="1">
        <v>2</v>
      </c>
      <c r="B29" s="1">
        <v>14</v>
      </c>
      <c r="C29" s="1">
        <v>28</v>
      </c>
      <c r="D29" s="1" t="s">
        <v>230</v>
      </c>
      <c r="E29" s="1" t="s">
        <v>563</v>
      </c>
      <c r="F29" s="1" t="s">
        <v>9</v>
      </c>
      <c r="G29" t="s">
        <v>478</v>
      </c>
      <c r="H29">
        <v>188</v>
      </c>
      <c r="I29" s="12">
        <v>46.1</v>
      </c>
      <c r="J29" s="12">
        <f>COUNTIF('Raw Data'!$G$2:$G$100001,'Draft Recap'!D29)</f>
        <v>3</v>
      </c>
      <c r="K29" s="12">
        <v>0</v>
      </c>
      <c r="L29" s="9">
        <f t="shared" si="0"/>
        <v>261.23333333333335</v>
      </c>
      <c r="M29" s="9">
        <f t="shared" si="1"/>
        <v>73.233333333333348</v>
      </c>
      <c r="N29" s="12">
        <v>0</v>
      </c>
      <c r="O29" s="9">
        <f t="shared" si="2"/>
        <v>0</v>
      </c>
      <c r="P29" s="18"/>
    </row>
    <row r="30" spans="1:16" x14ac:dyDescent="0.2">
      <c r="A30" s="1">
        <v>3</v>
      </c>
      <c r="B30" s="1">
        <v>1</v>
      </c>
      <c r="C30" s="1">
        <v>29</v>
      </c>
      <c r="D30" s="1" t="s">
        <v>47</v>
      </c>
      <c r="E30" s="1" t="s">
        <v>569</v>
      </c>
      <c r="F30" s="1" t="s">
        <v>6</v>
      </c>
      <c r="G30" t="s">
        <v>478</v>
      </c>
      <c r="H30">
        <v>205</v>
      </c>
      <c r="I30" s="12">
        <v>57</v>
      </c>
      <c r="J30" s="12">
        <f>COUNTIF('Raw Data'!$G$2:$G$100001,'Draft Recap'!D30)</f>
        <v>3</v>
      </c>
      <c r="K30" s="12">
        <v>0</v>
      </c>
      <c r="L30" s="9">
        <f t="shared" si="0"/>
        <v>323</v>
      </c>
      <c r="M30" s="9">
        <f t="shared" si="1"/>
        <v>118</v>
      </c>
      <c r="N30" s="12">
        <v>0</v>
      </c>
      <c r="O30" s="9">
        <f t="shared" si="2"/>
        <v>0</v>
      </c>
      <c r="P30" s="18"/>
    </row>
    <row r="31" spans="1:16" x14ac:dyDescent="0.2">
      <c r="A31" s="1">
        <v>3</v>
      </c>
      <c r="B31" s="1">
        <v>2</v>
      </c>
      <c r="C31" s="1">
        <v>30</v>
      </c>
      <c r="D31" s="1" t="s">
        <v>314</v>
      </c>
      <c r="E31" s="1" t="s">
        <v>570</v>
      </c>
      <c r="F31" s="1" t="s">
        <v>6</v>
      </c>
      <c r="G31" t="s">
        <v>483</v>
      </c>
      <c r="H31">
        <v>194</v>
      </c>
      <c r="I31" s="12">
        <v>26.3</v>
      </c>
      <c r="J31" s="12">
        <f>COUNTIF('Raw Data'!$G$2:$G$100001,'Draft Recap'!D31)</f>
        <v>3</v>
      </c>
      <c r="K31" s="12">
        <v>0</v>
      </c>
      <c r="L31" s="9">
        <f t="shared" si="0"/>
        <v>149.03333333333336</v>
      </c>
      <c r="M31" s="9">
        <f t="shared" si="1"/>
        <v>-44.96666666666664</v>
      </c>
      <c r="N31" s="12">
        <v>0</v>
      </c>
      <c r="O31" s="9">
        <f t="shared" si="2"/>
        <v>0</v>
      </c>
      <c r="P31" s="18"/>
    </row>
    <row r="32" spans="1:16" x14ac:dyDescent="0.2">
      <c r="A32" s="1">
        <v>3</v>
      </c>
      <c r="B32" s="1">
        <v>3</v>
      </c>
      <c r="C32" s="1">
        <v>31</v>
      </c>
      <c r="D32" s="1" t="s">
        <v>157</v>
      </c>
      <c r="E32" s="1" t="s">
        <v>558</v>
      </c>
      <c r="F32" s="1" t="s">
        <v>6</v>
      </c>
      <c r="G32" t="s">
        <v>463</v>
      </c>
      <c r="H32">
        <v>199</v>
      </c>
      <c r="I32" s="12">
        <v>23</v>
      </c>
      <c r="J32" s="12">
        <f>COUNTIF('Raw Data'!$G$2:$G$100001,'Draft Recap'!D32)</f>
        <v>3</v>
      </c>
      <c r="K32" s="12">
        <v>0</v>
      </c>
      <c r="L32" s="9">
        <f t="shared" si="0"/>
        <v>130.33333333333334</v>
      </c>
      <c r="M32" s="9">
        <f t="shared" si="1"/>
        <v>-68.666666666666657</v>
      </c>
      <c r="N32" s="12">
        <v>0</v>
      </c>
      <c r="O32" s="9">
        <f t="shared" si="2"/>
        <v>0</v>
      </c>
      <c r="P32" s="18"/>
    </row>
    <row r="33" spans="1:16" x14ac:dyDescent="0.2">
      <c r="A33" s="1">
        <v>3</v>
      </c>
      <c r="B33" s="1">
        <v>4</v>
      </c>
      <c r="C33" s="1">
        <v>32</v>
      </c>
      <c r="D33" s="1" t="s">
        <v>214</v>
      </c>
      <c r="E33" s="1" t="s">
        <v>565</v>
      </c>
      <c r="F33" s="1" t="s">
        <v>6</v>
      </c>
      <c r="G33" t="s">
        <v>484</v>
      </c>
      <c r="H33">
        <v>213</v>
      </c>
      <c r="I33" s="12">
        <v>31.5</v>
      </c>
      <c r="J33" s="12">
        <f>COUNTIF('Raw Data'!$G$2:$G$100001,'Draft Recap'!D33)</f>
        <v>3</v>
      </c>
      <c r="K33" s="12">
        <v>0</v>
      </c>
      <c r="L33" s="9">
        <f t="shared" si="0"/>
        <v>178.5</v>
      </c>
      <c r="M33" s="9">
        <f t="shared" si="1"/>
        <v>-34.5</v>
      </c>
      <c r="N33" s="12">
        <v>0</v>
      </c>
      <c r="O33" s="9">
        <f t="shared" si="2"/>
        <v>0</v>
      </c>
      <c r="P33" s="18"/>
    </row>
    <row r="34" spans="1:16" x14ac:dyDescent="0.2">
      <c r="A34" s="1">
        <v>3</v>
      </c>
      <c r="B34" s="1">
        <v>5</v>
      </c>
      <c r="C34" s="1">
        <v>33</v>
      </c>
      <c r="D34" s="1" t="s">
        <v>89</v>
      </c>
      <c r="E34" s="1" t="s">
        <v>559</v>
      </c>
      <c r="F34" s="1" t="s">
        <v>6</v>
      </c>
      <c r="G34" t="s">
        <v>468</v>
      </c>
      <c r="H34">
        <v>194</v>
      </c>
      <c r="I34" s="12">
        <v>39</v>
      </c>
      <c r="J34" s="12">
        <f>COUNTIF('Raw Data'!$G$2:$G$100001,'Draft Recap'!D34)</f>
        <v>3</v>
      </c>
      <c r="K34" s="12">
        <v>0</v>
      </c>
      <c r="L34" s="9">
        <f t="shared" ref="L34:L61" si="10">IF(I34=0,0,I34+I34/($Q$1-K34)*(18-$Q$1-1+K34))</f>
        <v>221</v>
      </c>
      <c r="M34" s="9">
        <f t="shared" si="1"/>
        <v>27</v>
      </c>
      <c r="N34" s="12">
        <v>0</v>
      </c>
      <c r="O34" s="9">
        <f t="shared" si="2"/>
        <v>0</v>
      </c>
      <c r="P34" s="18"/>
    </row>
    <row r="35" spans="1:16" x14ac:dyDescent="0.2">
      <c r="A35" s="1">
        <v>3</v>
      </c>
      <c r="B35" s="1">
        <v>6</v>
      </c>
      <c r="C35" s="1">
        <v>34</v>
      </c>
      <c r="D35" s="1" t="s">
        <v>32</v>
      </c>
      <c r="E35" s="1" t="s">
        <v>569</v>
      </c>
      <c r="F35" s="1" t="s">
        <v>5</v>
      </c>
      <c r="G35" t="s">
        <v>545</v>
      </c>
      <c r="H35">
        <v>224</v>
      </c>
      <c r="I35" s="12">
        <v>25.4</v>
      </c>
      <c r="J35" s="12">
        <f>COUNTIF('Raw Data'!$G$2:$G$100001,'Draft Recap'!D35)</f>
        <v>3</v>
      </c>
      <c r="K35" s="12">
        <v>0</v>
      </c>
      <c r="L35" s="9">
        <f t="shared" si="10"/>
        <v>143.93333333333334</v>
      </c>
      <c r="M35" s="9">
        <f t="shared" si="1"/>
        <v>-80.066666666666663</v>
      </c>
      <c r="N35" s="12">
        <v>0</v>
      </c>
      <c r="O35" s="9">
        <f t="shared" si="2"/>
        <v>0</v>
      </c>
      <c r="P35" s="18"/>
    </row>
    <row r="36" spans="1:16" x14ac:dyDescent="0.2">
      <c r="A36" s="1">
        <v>3</v>
      </c>
      <c r="B36" s="1">
        <v>7</v>
      </c>
      <c r="C36" s="1">
        <v>35</v>
      </c>
      <c r="D36" s="1" t="s">
        <v>327</v>
      </c>
      <c r="E36" s="1" t="s">
        <v>571</v>
      </c>
      <c r="F36" s="1" t="s">
        <v>5</v>
      </c>
      <c r="G36" t="s">
        <v>308</v>
      </c>
      <c r="H36">
        <v>189</v>
      </c>
      <c r="I36" s="12">
        <v>38.5</v>
      </c>
      <c r="J36" s="12">
        <f>COUNTIF('Raw Data'!$G$2:$G$100001,'Draft Recap'!D36)</f>
        <v>3</v>
      </c>
      <c r="K36" s="12">
        <v>0</v>
      </c>
      <c r="L36" s="9">
        <f t="shared" si="10"/>
        <v>218.16666666666669</v>
      </c>
      <c r="M36" s="9">
        <f t="shared" si="1"/>
        <v>29.166666666666686</v>
      </c>
      <c r="N36" s="12">
        <v>0</v>
      </c>
      <c r="O36" s="9">
        <f t="shared" si="2"/>
        <v>0</v>
      </c>
      <c r="P36" s="18"/>
    </row>
    <row r="37" spans="1:16" x14ac:dyDescent="0.2">
      <c r="A37" s="1">
        <v>3</v>
      </c>
      <c r="B37" s="1">
        <v>8</v>
      </c>
      <c r="C37" s="1">
        <v>36</v>
      </c>
      <c r="D37" s="1" t="s">
        <v>20</v>
      </c>
      <c r="E37" s="1" t="s">
        <v>568</v>
      </c>
      <c r="F37" s="1" t="s">
        <v>6</v>
      </c>
      <c r="G37" t="s">
        <v>309</v>
      </c>
      <c r="H37">
        <v>200</v>
      </c>
      <c r="I37" s="12">
        <v>46.8</v>
      </c>
      <c r="J37" s="12">
        <f>COUNTIF('Raw Data'!$G$2:$G$100001,'Draft Recap'!D37)</f>
        <v>3</v>
      </c>
      <c r="K37" s="12">
        <v>0</v>
      </c>
      <c r="L37" s="9">
        <f t="shared" si="10"/>
        <v>265.2</v>
      </c>
      <c r="M37" s="9">
        <f t="shared" si="1"/>
        <v>65.199999999999989</v>
      </c>
      <c r="N37" s="12">
        <v>0</v>
      </c>
      <c r="O37" s="9">
        <f t="shared" si="2"/>
        <v>0</v>
      </c>
      <c r="P37" s="18"/>
    </row>
    <row r="38" spans="1:16" x14ac:dyDescent="0.2">
      <c r="A38" s="1">
        <v>3</v>
      </c>
      <c r="B38" s="1">
        <v>9</v>
      </c>
      <c r="C38" s="1">
        <v>37</v>
      </c>
      <c r="D38" s="1" t="s">
        <v>195</v>
      </c>
      <c r="E38" s="1" t="s">
        <v>561</v>
      </c>
      <c r="F38" s="1" t="s">
        <v>6</v>
      </c>
      <c r="G38" t="s">
        <v>469</v>
      </c>
      <c r="H38">
        <v>197</v>
      </c>
      <c r="I38" s="12">
        <v>36.4</v>
      </c>
      <c r="J38" s="12">
        <f>COUNTIF('Raw Data'!$G$2:$G$100001,'Draft Recap'!D38)</f>
        <v>3</v>
      </c>
      <c r="K38" s="12">
        <v>0</v>
      </c>
      <c r="L38" s="9">
        <f t="shared" si="10"/>
        <v>206.26666666666668</v>
      </c>
      <c r="M38" s="9">
        <f t="shared" si="1"/>
        <v>9.2666666666666799</v>
      </c>
      <c r="N38" s="12">
        <v>1</v>
      </c>
      <c r="O38" s="9">
        <f t="shared" si="2"/>
        <v>3</v>
      </c>
      <c r="P38" s="18"/>
    </row>
    <row r="39" spans="1:16" x14ac:dyDescent="0.2">
      <c r="A39" s="1">
        <v>3</v>
      </c>
      <c r="B39" s="1">
        <v>10</v>
      </c>
      <c r="C39" s="1">
        <v>38</v>
      </c>
      <c r="D39" s="1" t="s">
        <v>326</v>
      </c>
      <c r="E39" s="1" t="s">
        <v>572</v>
      </c>
      <c r="F39" s="1" t="s">
        <v>5</v>
      </c>
      <c r="G39" t="s">
        <v>499</v>
      </c>
      <c r="H39">
        <v>211</v>
      </c>
      <c r="I39" s="12">
        <v>22.2</v>
      </c>
      <c r="J39" s="12">
        <f>COUNTIF('Raw Data'!$G$2:$G$100001,'Draft Recap'!D39)</f>
        <v>3</v>
      </c>
      <c r="K39" s="12">
        <v>0</v>
      </c>
      <c r="L39" s="9">
        <f t="shared" si="10"/>
        <v>125.8</v>
      </c>
      <c r="M39" s="9">
        <f t="shared" si="1"/>
        <v>-85.2</v>
      </c>
      <c r="N39" s="12">
        <v>0</v>
      </c>
      <c r="O39" s="9">
        <f t="shared" si="2"/>
        <v>0</v>
      </c>
      <c r="P39" s="18"/>
    </row>
    <row r="40" spans="1:16" x14ac:dyDescent="0.2">
      <c r="A40" s="1">
        <v>3</v>
      </c>
      <c r="B40" s="1">
        <v>11</v>
      </c>
      <c r="C40" s="1">
        <v>39</v>
      </c>
      <c r="D40" s="1" t="s">
        <v>212</v>
      </c>
      <c r="E40" s="1" t="s">
        <v>573</v>
      </c>
      <c r="F40" s="1" t="s">
        <v>6</v>
      </c>
      <c r="G40" t="s">
        <v>255</v>
      </c>
      <c r="H40">
        <v>202</v>
      </c>
      <c r="I40" s="12">
        <v>15.6</v>
      </c>
      <c r="J40" s="12">
        <f>COUNTIF('Raw Data'!$G$2:$G$100001,'Draft Recap'!D40)</f>
        <v>3</v>
      </c>
      <c r="K40" s="12">
        <v>0</v>
      </c>
      <c r="L40" s="9">
        <f t="shared" si="10"/>
        <v>88.399999999999991</v>
      </c>
      <c r="M40" s="9">
        <f t="shared" si="1"/>
        <v>-113.60000000000001</v>
      </c>
      <c r="N40" s="12">
        <v>0</v>
      </c>
      <c r="O40" s="9">
        <f t="shared" si="2"/>
        <v>0</v>
      </c>
      <c r="P40" s="18"/>
    </row>
    <row r="41" spans="1:16" x14ac:dyDescent="0.2">
      <c r="A41" s="1">
        <v>3</v>
      </c>
      <c r="B41" s="1">
        <v>12</v>
      </c>
      <c r="C41" s="1">
        <v>40</v>
      </c>
      <c r="D41" s="1" t="s">
        <v>238</v>
      </c>
      <c r="E41" s="1" t="s">
        <v>560</v>
      </c>
      <c r="F41" s="1" t="s">
        <v>6</v>
      </c>
      <c r="G41" t="s">
        <v>494</v>
      </c>
      <c r="H41">
        <v>181</v>
      </c>
      <c r="I41" s="12">
        <v>30.3</v>
      </c>
      <c r="J41" s="12">
        <f>COUNTIF('Raw Data'!$G$2:$G$100001,'Draft Recap'!D41)</f>
        <v>3</v>
      </c>
      <c r="K41" s="12">
        <v>0</v>
      </c>
      <c r="L41" s="9">
        <f t="shared" si="10"/>
        <v>171.70000000000002</v>
      </c>
      <c r="M41" s="9">
        <f t="shared" si="1"/>
        <v>-9.2999999999999829</v>
      </c>
      <c r="N41" s="12">
        <v>0</v>
      </c>
      <c r="O41" s="9">
        <f t="shared" si="2"/>
        <v>0</v>
      </c>
      <c r="P41" s="18"/>
    </row>
    <row r="42" spans="1:16" x14ac:dyDescent="0.2">
      <c r="A42" s="1">
        <v>3</v>
      </c>
      <c r="B42" s="1">
        <v>13</v>
      </c>
      <c r="C42" s="1">
        <v>41</v>
      </c>
      <c r="D42" s="1" t="s">
        <v>94</v>
      </c>
      <c r="E42" s="1" t="s">
        <v>552</v>
      </c>
      <c r="F42" s="1" t="s">
        <v>6</v>
      </c>
      <c r="G42" t="s">
        <v>256</v>
      </c>
      <c r="H42">
        <v>198</v>
      </c>
      <c r="I42" s="12">
        <v>56.8</v>
      </c>
      <c r="J42" s="12">
        <f>COUNTIF('Raw Data'!$G$2:$G$100001,'Draft Recap'!D42)</f>
        <v>3</v>
      </c>
      <c r="K42" s="12">
        <v>0</v>
      </c>
      <c r="L42" s="9">
        <f t="shared" si="10"/>
        <v>321.86666666666667</v>
      </c>
      <c r="M42" s="9">
        <f t="shared" si="1"/>
        <v>123.86666666666667</v>
      </c>
      <c r="N42" s="12">
        <v>0</v>
      </c>
      <c r="O42" s="9">
        <f t="shared" si="2"/>
        <v>0</v>
      </c>
      <c r="P42" s="18"/>
    </row>
    <row r="43" spans="1:16" x14ac:dyDescent="0.2">
      <c r="A43" s="1">
        <v>3</v>
      </c>
      <c r="B43" s="1">
        <v>14</v>
      </c>
      <c r="C43" s="1">
        <v>42</v>
      </c>
      <c r="D43" s="1" t="s">
        <v>103</v>
      </c>
      <c r="E43" s="1" t="s">
        <v>561</v>
      </c>
      <c r="F43" s="1" t="s">
        <v>4</v>
      </c>
      <c r="G43" t="s">
        <v>343</v>
      </c>
      <c r="H43">
        <v>322</v>
      </c>
      <c r="I43" s="12">
        <v>60.2</v>
      </c>
      <c r="J43" s="12">
        <f>COUNTIF('Raw Data'!$G$2:$G$100001,'Draft Recap'!D43)</f>
        <v>3</v>
      </c>
      <c r="K43" s="12">
        <v>0</v>
      </c>
      <c r="L43" s="9">
        <f t="shared" si="10"/>
        <v>341.13333333333333</v>
      </c>
      <c r="M43" s="9">
        <f t="shared" si="1"/>
        <v>19.133333333333326</v>
      </c>
      <c r="N43" s="12">
        <v>0</v>
      </c>
      <c r="O43" s="9">
        <f t="shared" si="2"/>
        <v>0</v>
      </c>
      <c r="P43" s="18"/>
    </row>
    <row r="44" spans="1:16" x14ac:dyDescent="0.2">
      <c r="A44" s="1">
        <v>4</v>
      </c>
      <c r="B44" s="1">
        <v>1</v>
      </c>
      <c r="C44" s="1">
        <v>43</v>
      </c>
      <c r="D44" s="1" t="s">
        <v>317</v>
      </c>
      <c r="E44" s="1" t="s">
        <v>574</v>
      </c>
      <c r="F44" s="1" t="s">
        <v>6</v>
      </c>
      <c r="G44" t="s">
        <v>343</v>
      </c>
      <c r="H44">
        <v>195</v>
      </c>
      <c r="I44" s="12">
        <v>23.3</v>
      </c>
      <c r="J44" s="12">
        <f>COUNTIF('Raw Data'!$G$2:$G$100001,'Draft Recap'!D44)</f>
        <v>3</v>
      </c>
      <c r="K44" s="12">
        <v>0</v>
      </c>
      <c r="L44" s="9">
        <f t="shared" si="10"/>
        <v>132.03333333333333</v>
      </c>
      <c r="M44" s="9">
        <f t="shared" si="1"/>
        <v>-62.966666666666669</v>
      </c>
      <c r="N44" s="12">
        <v>0</v>
      </c>
      <c r="O44" s="9">
        <f t="shared" si="2"/>
        <v>0</v>
      </c>
      <c r="P44" s="18"/>
    </row>
    <row r="45" spans="1:16" x14ac:dyDescent="0.2">
      <c r="A45" s="1">
        <v>4</v>
      </c>
      <c r="B45" s="1">
        <v>2</v>
      </c>
      <c r="C45" s="1">
        <v>44</v>
      </c>
      <c r="D45" s="1" t="s">
        <v>258</v>
      </c>
      <c r="E45" s="1" t="s">
        <v>567</v>
      </c>
      <c r="F45" s="1" t="s">
        <v>4</v>
      </c>
      <c r="G45" t="s">
        <v>256</v>
      </c>
      <c r="H45">
        <v>319</v>
      </c>
      <c r="I45" s="12">
        <v>21.6</v>
      </c>
      <c r="J45" s="12">
        <f>COUNTIF('Raw Data'!$G$2:$G$100001,'Draft Recap'!D45)</f>
        <v>3</v>
      </c>
      <c r="K45" s="12">
        <v>0</v>
      </c>
      <c r="L45" s="9">
        <f t="shared" si="10"/>
        <v>122.4</v>
      </c>
      <c r="M45" s="9">
        <f t="shared" si="1"/>
        <v>-196.6</v>
      </c>
      <c r="N45" s="12">
        <v>0</v>
      </c>
      <c r="O45" s="9">
        <f t="shared" si="2"/>
        <v>0</v>
      </c>
      <c r="P45" s="18"/>
    </row>
    <row r="46" spans="1:16" x14ac:dyDescent="0.2">
      <c r="A46" s="1">
        <v>4</v>
      </c>
      <c r="B46" s="1">
        <v>3</v>
      </c>
      <c r="C46" s="1">
        <v>45</v>
      </c>
      <c r="D46" s="1" t="s">
        <v>325</v>
      </c>
      <c r="E46" s="1" t="s">
        <v>573</v>
      </c>
      <c r="F46" s="1" t="s">
        <v>5</v>
      </c>
      <c r="G46" t="s">
        <v>494</v>
      </c>
      <c r="H46">
        <v>206</v>
      </c>
      <c r="I46" s="12">
        <v>33.1</v>
      </c>
      <c r="J46" s="12">
        <f>COUNTIF('Raw Data'!$G$2:$G$100001,'Draft Recap'!D46)</f>
        <v>3</v>
      </c>
      <c r="K46" s="12">
        <v>0</v>
      </c>
      <c r="L46" s="9">
        <f t="shared" si="10"/>
        <v>187.56666666666666</v>
      </c>
      <c r="M46" s="9">
        <f t="shared" si="1"/>
        <v>-18.433333333333337</v>
      </c>
      <c r="N46" s="12">
        <v>0</v>
      </c>
      <c r="O46" s="9">
        <f t="shared" si="2"/>
        <v>0</v>
      </c>
      <c r="P46" s="18"/>
    </row>
    <row r="47" spans="1:16" x14ac:dyDescent="0.2">
      <c r="A47" s="1">
        <v>4</v>
      </c>
      <c r="B47" s="1">
        <v>4</v>
      </c>
      <c r="C47" s="1">
        <v>46</v>
      </c>
      <c r="D47" s="1" t="s">
        <v>56</v>
      </c>
      <c r="E47" s="1" t="s">
        <v>575</v>
      </c>
      <c r="F47" s="1" t="s">
        <v>6</v>
      </c>
      <c r="G47" t="s">
        <v>255</v>
      </c>
      <c r="H47">
        <v>180</v>
      </c>
      <c r="I47" s="12">
        <v>25.1</v>
      </c>
      <c r="J47" s="12">
        <f>COUNTIF('Raw Data'!$G$2:$G$100001,'Draft Recap'!D47)</f>
        <v>3</v>
      </c>
      <c r="K47" s="12">
        <v>0</v>
      </c>
      <c r="L47" s="9">
        <f t="shared" si="10"/>
        <v>142.23333333333335</v>
      </c>
      <c r="M47" s="9">
        <f t="shared" si="1"/>
        <v>-37.766666666666652</v>
      </c>
      <c r="N47" s="12">
        <v>0</v>
      </c>
      <c r="O47" s="9">
        <f t="shared" si="2"/>
        <v>0</v>
      </c>
      <c r="P47" s="18"/>
    </row>
    <row r="48" spans="1:16" x14ac:dyDescent="0.2">
      <c r="A48" s="1">
        <v>4</v>
      </c>
      <c r="B48" s="1">
        <v>5</v>
      </c>
      <c r="C48" s="1">
        <v>47</v>
      </c>
      <c r="D48" s="1" t="s">
        <v>221</v>
      </c>
      <c r="E48" s="1" t="s">
        <v>570</v>
      </c>
      <c r="F48" s="1" t="s">
        <v>5</v>
      </c>
      <c r="G48" t="s">
        <v>499</v>
      </c>
      <c r="H48">
        <v>189</v>
      </c>
      <c r="I48" s="12">
        <v>34.6</v>
      </c>
      <c r="J48" s="12">
        <f>COUNTIF('Raw Data'!$G$2:$G$100001,'Draft Recap'!D48)</f>
        <v>3</v>
      </c>
      <c r="K48" s="12">
        <v>0</v>
      </c>
      <c r="L48" s="9">
        <f t="shared" si="10"/>
        <v>196.06666666666666</v>
      </c>
      <c r="M48" s="9">
        <f t="shared" si="1"/>
        <v>7.0666666666666629</v>
      </c>
      <c r="N48" s="12">
        <v>0</v>
      </c>
      <c r="O48" s="9">
        <f t="shared" si="2"/>
        <v>0</v>
      </c>
      <c r="P48" s="18"/>
    </row>
    <row r="49" spans="1:16" x14ac:dyDescent="0.2">
      <c r="A49" s="1">
        <v>4</v>
      </c>
      <c r="B49" s="1">
        <v>6</v>
      </c>
      <c r="C49" s="1">
        <v>48</v>
      </c>
      <c r="D49" s="1" t="s">
        <v>66</v>
      </c>
      <c r="E49" s="1" t="s">
        <v>576</v>
      </c>
      <c r="F49" s="1" t="s">
        <v>5</v>
      </c>
      <c r="G49" t="s">
        <v>469</v>
      </c>
      <c r="H49">
        <v>195</v>
      </c>
      <c r="I49" s="12">
        <v>52.1</v>
      </c>
      <c r="J49" s="12">
        <f>COUNTIF('Raw Data'!$G$2:$G$100001,'Draft Recap'!D49)</f>
        <v>3</v>
      </c>
      <c r="K49" s="12">
        <v>0</v>
      </c>
      <c r="L49" s="9">
        <f t="shared" si="10"/>
        <v>295.23333333333335</v>
      </c>
      <c r="M49" s="9">
        <f t="shared" si="1"/>
        <v>100.23333333333335</v>
      </c>
      <c r="N49" s="12">
        <v>0</v>
      </c>
      <c r="O49" s="9">
        <f t="shared" si="2"/>
        <v>0</v>
      </c>
      <c r="P49" s="18"/>
    </row>
    <row r="50" spans="1:16" x14ac:dyDescent="0.2">
      <c r="A50" s="1">
        <v>4</v>
      </c>
      <c r="B50" s="1">
        <v>7</v>
      </c>
      <c r="C50" s="1">
        <v>49</v>
      </c>
      <c r="D50" s="1" t="s">
        <v>106</v>
      </c>
      <c r="E50" s="1" t="s">
        <v>551</v>
      </c>
      <c r="F50" s="1" t="s">
        <v>6</v>
      </c>
      <c r="G50" t="s">
        <v>309</v>
      </c>
      <c r="H50">
        <v>183</v>
      </c>
      <c r="I50" s="12">
        <v>37.4</v>
      </c>
      <c r="J50" s="12">
        <f>COUNTIF('Raw Data'!$G$2:$G$100001,'Draft Recap'!D50)</f>
        <v>3</v>
      </c>
      <c r="K50" s="12">
        <v>0</v>
      </c>
      <c r="L50" s="9">
        <f t="shared" si="10"/>
        <v>211.93333333333334</v>
      </c>
      <c r="M50" s="9">
        <f t="shared" si="1"/>
        <v>28.933333333333337</v>
      </c>
      <c r="N50" s="12">
        <v>0</v>
      </c>
      <c r="O50" s="9">
        <f t="shared" si="2"/>
        <v>0</v>
      </c>
      <c r="P50" s="18"/>
    </row>
    <row r="51" spans="1:16" x14ac:dyDescent="0.2">
      <c r="A51" s="1">
        <v>4</v>
      </c>
      <c r="B51" s="1">
        <v>8</v>
      </c>
      <c r="C51" s="1">
        <v>50</v>
      </c>
      <c r="D51" s="1" t="s">
        <v>496</v>
      </c>
      <c r="E51" s="1" t="s">
        <v>555</v>
      </c>
      <c r="F51" s="1" t="s">
        <v>5</v>
      </c>
      <c r="G51" t="s">
        <v>308</v>
      </c>
      <c r="H51">
        <v>181</v>
      </c>
      <c r="I51" s="12">
        <v>12</v>
      </c>
      <c r="J51" s="12">
        <f>COUNTIF('Raw Data'!$G$2:$G$100001,'Draft Recap'!D51)</f>
        <v>3</v>
      </c>
      <c r="K51" s="12">
        <v>0</v>
      </c>
      <c r="L51" s="9">
        <f t="shared" si="10"/>
        <v>68</v>
      </c>
      <c r="M51" s="9">
        <f t="shared" si="1"/>
        <v>-113</v>
      </c>
      <c r="N51" s="12">
        <v>0</v>
      </c>
      <c r="O51" s="9">
        <f t="shared" si="2"/>
        <v>0</v>
      </c>
      <c r="P51" s="18"/>
    </row>
    <row r="52" spans="1:16" x14ac:dyDescent="0.2">
      <c r="A52" s="1">
        <v>4</v>
      </c>
      <c r="B52" s="1">
        <v>9</v>
      </c>
      <c r="C52" s="1">
        <v>51</v>
      </c>
      <c r="D52" s="1" t="s">
        <v>217</v>
      </c>
      <c r="E52" s="1" t="s">
        <v>576</v>
      </c>
      <c r="F52" s="1" t="s">
        <v>6</v>
      </c>
      <c r="G52" t="s">
        <v>545</v>
      </c>
      <c r="H52">
        <v>183</v>
      </c>
      <c r="I52" s="12">
        <v>17.899999999999999</v>
      </c>
      <c r="J52" s="12">
        <f>COUNTIF('Raw Data'!$G$2:$G$100001,'Draft Recap'!D52)</f>
        <v>3</v>
      </c>
      <c r="K52" s="12">
        <v>0</v>
      </c>
      <c r="L52" s="9">
        <f t="shared" si="10"/>
        <v>101.43333333333331</v>
      </c>
      <c r="M52" s="9">
        <f t="shared" si="1"/>
        <v>-81.566666666666691</v>
      </c>
      <c r="N52" s="12">
        <v>0</v>
      </c>
      <c r="O52" s="9">
        <f t="shared" si="2"/>
        <v>0</v>
      </c>
      <c r="P52" s="18"/>
    </row>
    <row r="53" spans="1:16" x14ac:dyDescent="0.2">
      <c r="A53" s="1">
        <v>4</v>
      </c>
      <c r="B53" s="1">
        <v>10</v>
      </c>
      <c r="C53" s="1">
        <v>52</v>
      </c>
      <c r="D53" s="1" t="s">
        <v>323</v>
      </c>
      <c r="E53" s="1" t="s">
        <v>576</v>
      </c>
      <c r="F53" s="1" t="s">
        <v>9</v>
      </c>
      <c r="G53" t="s">
        <v>468</v>
      </c>
      <c r="H53">
        <v>167</v>
      </c>
      <c r="I53" s="12">
        <v>5.9</v>
      </c>
      <c r="J53" s="12">
        <f>COUNTIF('Raw Data'!$G$2:$G$100001,'Draft Recap'!D53)</f>
        <v>3</v>
      </c>
      <c r="K53" s="12">
        <v>0</v>
      </c>
      <c r="L53" s="9">
        <f t="shared" si="10"/>
        <v>33.433333333333337</v>
      </c>
      <c r="M53" s="9">
        <f t="shared" si="1"/>
        <v>-133.56666666666666</v>
      </c>
      <c r="N53" s="12">
        <v>0</v>
      </c>
      <c r="O53" s="9">
        <f t="shared" si="2"/>
        <v>0</v>
      </c>
      <c r="P53" s="18"/>
    </row>
    <row r="54" spans="1:16" x14ac:dyDescent="0.2">
      <c r="A54" s="1">
        <v>4</v>
      </c>
      <c r="B54" s="1">
        <v>11</v>
      </c>
      <c r="C54" s="1">
        <v>53</v>
      </c>
      <c r="D54" s="1" t="s">
        <v>328</v>
      </c>
      <c r="E54" s="1" t="s">
        <v>576</v>
      </c>
      <c r="F54" s="1" t="s">
        <v>6</v>
      </c>
      <c r="G54" t="s">
        <v>484</v>
      </c>
      <c r="H54">
        <v>168</v>
      </c>
      <c r="I54" s="12">
        <v>28</v>
      </c>
      <c r="J54" s="12">
        <f>COUNTIF('Raw Data'!$G$2:$G$100001,'Draft Recap'!D54)</f>
        <v>3</v>
      </c>
      <c r="K54" s="12">
        <v>0</v>
      </c>
      <c r="L54" s="9">
        <f t="shared" si="10"/>
        <v>158.66666666666669</v>
      </c>
      <c r="M54" s="9">
        <f t="shared" si="1"/>
        <v>-9.3333333333333144</v>
      </c>
      <c r="N54" s="12">
        <v>0</v>
      </c>
      <c r="O54" s="9">
        <f t="shared" si="2"/>
        <v>0</v>
      </c>
      <c r="P54" s="18"/>
    </row>
    <row r="55" spans="1:16" x14ac:dyDescent="0.2">
      <c r="A55" s="1">
        <v>4</v>
      </c>
      <c r="B55" s="1">
        <v>12</v>
      </c>
      <c r="C55" s="1">
        <v>54</v>
      </c>
      <c r="D55" s="1" t="s">
        <v>68</v>
      </c>
      <c r="E55" s="1" t="s">
        <v>577</v>
      </c>
      <c r="F55" s="1" t="s">
        <v>6</v>
      </c>
      <c r="G55" t="s">
        <v>463</v>
      </c>
      <c r="H55">
        <v>175</v>
      </c>
      <c r="I55" s="12">
        <v>23.9</v>
      </c>
      <c r="J55" s="12">
        <f>COUNTIF('Raw Data'!$G$2:$G$100001,'Draft Recap'!D55)</f>
        <v>3</v>
      </c>
      <c r="K55" s="12">
        <v>0</v>
      </c>
      <c r="L55" s="9">
        <f t="shared" si="10"/>
        <v>135.43333333333331</v>
      </c>
      <c r="M55" s="9">
        <f t="shared" si="1"/>
        <v>-39.566666666666691</v>
      </c>
      <c r="N55" s="12">
        <v>0</v>
      </c>
      <c r="O55" s="9">
        <f t="shared" si="2"/>
        <v>0</v>
      </c>
      <c r="P55" s="18"/>
    </row>
    <row r="56" spans="1:16" x14ac:dyDescent="0.2">
      <c r="A56" s="1">
        <v>4</v>
      </c>
      <c r="B56" s="1">
        <v>13</v>
      </c>
      <c r="C56" s="1">
        <v>55</v>
      </c>
      <c r="D56" s="1" t="s">
        <v>27</v>
      </c>
      <c r="E56" s="1" t="s">
        <v>553</v>
      </c>
      <c r="F56" s="1" t="s">
        <v>6</v>
      </c>
      <c r="G56" t="s">
        <v>483</v>
      </c>
      <c r="H56">
        <v>177</v>
      </c>
      <c r="I56" s="12">
        <v>28.1</v>
      </c>
      <c r="J56" s="12">
        <f>COUNTIF('Raw Data'!$G$2:$G$100001,'Draft Recap'!D56)</f>
        <v>3</v>
      </c>
      <c r="K56" s="12">
        <v>0</v>
      </c>
      <c r="L56" s="9">
        <f t="shared" si="10"/>
        <v>159.23333333333332</v>
      </c>
      <c r="M56" s="9">
        <f t="shared" si="1"/>
        <v>-17.76666666666668</v>
      </c>
      <c r="N56" s="12">
        <v>0</v>
      </c>
      <c r="O56" s="9">
        <f t="shared" si="2"/>
        <v>0</v>
      </c>
      <c r="P56" s="18"/>
    </row>
    <row r="57" spans="1:16" x14ac:dyDescent="0.2">
      <c r="A57" s="1">
        <v>4</v>
      </c>
      <c r="B57" s="1">
        <v>14</v>
      </c>
      <c r="C57" s="1">
        <v>56</v>
      </c>
      <c r="D57" s="1" t="s">
        <v>234</v>
      </c>
      <c r="E57" s="1" t="s">
        <v>549</v>
      </c>
      <c r="F57" s="1" t="s">
        <v>6</v>
      </c>
      <c r="G57" t="s">
        <v>478</v>
      </c>
      <c r="H57">
        <v>176</v>
      </c>
      <c r="I57" s="12">
        <v>17.7</v>
      </c>
      <c r="J57" s="12">
        <f>COUNTIF('Raw Data'!$G$2:$G$100001,'Draft Recap'!D57)</f>
        <v>3</v>
      </c>
      <c r="K57" s="12">
        <v>0</v>
      </c>
      <c r="L57" s="9">
        <f t="shared" si="10"/>
        <v>100.3</v>
      </c>
      <c r="M57" s="9">
        <f t="shared" si="1"/>
        <v>-75.7</v>
      </c>
      <c r="N57" s="12">
        <v>0</v>
      </c>
      <c r="O57" s="9">
        <f t="shared" si="2"/>
        <v>0</v>
      </c>
      <c r="P57" s="18"/>
    </row>
    <row r="58" spans="1:16" x14ac:dyDescent="0.2">
      <c r="A58" s="1">
        <v>5</v>
      </c>
      <c r="B58" s="1">
        <v>1</v>
      </c>
      <c r="C58" s="1">
        <v>57</v>
      </c>
      <c r="D58" s="1" t="s">
        <v>51</v>
      </c>
      <c r="E58" s="1" t="s">
        <v>564</v>
      </c>
      <c r="F58" s="1" t="s">
        <v>5</v>
      </c>
      <c r="G58" t="s">
        <v>478</v>
      </c>
      <c r="H58">
        <v>184</v>
      </c>
      <c r="I58" s="12">
        <v>36.6</v>
      </c>
      <c r="J58" s="12">
        <f>COUNTIF('Raw Data'!$G$2:$G$100001,'Draft Recap'!D58)</f>
        <v>3</v>
      </c>
      <c r="K58" s="12">
        <v>0</v>
      </c>
      <c r="L58" s="9">
        <f t="shared" si="10"/>
        <v>207.4</v>
      </c>
      <c r="M58" s="9">
        <f t="shared" si="1"/>
        <v>23.400000000000006</v>
      </c>
      <c r="N58" s="12">
        <v>0</v>
      </c>
      <c r="O58" s="9">
        <f t="shared" si="2"/>
        <v>0</v>
      </c>
      <c r="P58" s="18"/>
    </row>
    <row r="59" spans="1:16" x14ac:dyDescent="0.2">
      <c r="A59" s="1">
        <v>5</v>
      </c>
      <c r="B59" s="1">
        <v>2</v>
      </c>
      <c r="C59" s="1">
        <v>58</v>
      </c>
      <c r="D59" s="1" t="s">
        <v>22</v>
      </c>
      <c r="E59" s="1" t="s">
        <v>552</v>
      </c>
      <c r="F59" s="1" t="s">
        <v>4</v>
      </c>
      <c r="G59" t="s">
        <v>483</v>
      </c>
      <c r="H59">
        <v>293</v>
      </c>
      <c r="I59" s="12">
        <v>51.98</v>
      </c>
      <c r="J59" s="12">
        <f>COUNTIF('Raw Data'!$G$2:$G$100001,'Draft Recap'!D59)</f>
        <v>3</v>
      </c>
      <c r="K59" s="12">
        <v>0</v>
      </c>
      <c r="L59" s="9">
        <f t="shared" si="10"/>
        <v>294.55333333333328</v>
      </c>
      <c r="M59" s="9">
        <f t="shared" si="1"/>
        <v>1.5533333333332848</v>
      </c>
      <c r="N59" s="12">
        <v>0</v>
      </c>
      <c r="O59" s="9">
        <f t="shared" si="2"/>
        <v>0</v>
      </c>
      <c r="P59" s="18"/>
    </row>
    <row r="60" spans="1:16" x14ac:dyDescent="0.2">
      <c r="A60" s="1">
        <v>5</v>
      </c>
      <c r="B60" s="1">
        <v>3</v>
      </c>
      <c r="C60" s="1">
        <v>59</v>
      </c>
      <c r="D60" s="1" t="s">
        <v>311</v>
      </c>
      <c r="E60" s="1" t="s">
        <v>567</v>
      </c>
      <c r="F60" s="1" t="s">
        <v>5</v>
      </c>
      <c r="G60" t="s">
        <v>463</v>
      </c>
      <c r="H60">
        <v>169</v>
      </c>
      <c r="I60" s="12">
        <v>17</v>
      </c>
      <c r="J60" s="12">
        <f>COUNTIF('Raw Data'!$G$2:$G$100001,'Draft Recap'!D60)</f>
        <v>3</v>
      </c>
      <c r="K60" s="12">
        <v>0</v>
      </c>
      <c r="L60" s="9">
        <f t="shared" si="10"/>
        <v>96.333333333333343</v>
      </c>
      <c r="M60" s="9">
        <f t="shared" si="1"/>
        <v>-72.666666666666657</v>
      </c>
      <c r="N60" s="12">
        <v>1</v>
      </c>
      <c r="O60" s="9">
        <f t="shared" si="2"/>
        <v>2.5</v>
      </c>
      <c r="P60" s="18"/>
    </row>
    <row r="61" spans="1:16" x14ac:dyDescent="0.2">
      <c r="A61" s="1">
        <v>5</v>
      </c>
      <c r="B61" s="1">
        <v>4</v>
      </c>
      <c r="C61" s="1">
        <v>60</v>
      </c>
      <c r="D61" s="1" t="s">
        <v>64</v>
      </c>
      <c r="E61" s="1" t="s">
        <v>551</v>
      </c>
      <c r="F61" s="1" t="s">
        <v>4</v>
      </c>
      <c r="G61" t="s">
        <v>484</v>
      </c>
      <c r="H61">
        <v>304</v>
      </c>
      <c r="I61" s="12">
        <v>52.92</v>
      </c>
      <c r="J61" s="12">
        <f>COUNTIF('Raw Data'!$G$2:$G$100001,'Draft Recap'!D61)</f>
        <v>3</v>
      </c>
      <c r="K61" s="12">
        <v>0</v>
      </c>
      <c r="L61" s="9">
        <f t="shared" si="10"/>
        <v>299.88</v>
      </c>
      <c r="M61" s="9">
        <f t="shared" si="1"/>
        <v>-4.1200000000000045</v>
      </c>
      <c r="N61" s="12">
        <v>0</v>
      </c>
      <c r="O61" s="9">
        <f t="shared" si="2"/>
        <v>0</v>
      </c>
      <c r="P61" s="18"/>
    </row>
    <row r="62" spans="1:16" x14ac:dyDescent="0.2">
      <c r="A62" s="1">
        <v>5</v>
      </c>
      <c r="B62" s="1">
        <v>5</v>
      </c>
      <c r="C62" s="1">
        <v>61</v>
      </c>
      <c r="D62" s="1" t="s">
        <v>60</v>
      </c>
      <c r="E62" s="1" t="s">
        <v>567</v>
      </c>
      <c r="F62" s="1" t="s">
        <v>5</v>
      </c>
      <c r="G62" t="s">
        <v>468</v>
      </c>
      <c r="H62">
        <v>186</v>
      </c>
      <c r="I62" s="12">
        <v>20.399999999999999</v>
      </c>
      <c r="J62" s="12">
        <f>COUNTIF('Raw Data'!$G$2:$G$100001,'Draft Recap'!D62)</f>
        <v>3</v>
      </c>
      <c r="K62" s="12">
        <v>0</v>
      </c>
      <c r="L62" s="9">
        <v>9</v>
      </c>
      <c r="M62" s="9">
        <f t="shared" si="1"/>
        <v>-177</v>
      </c>
      <c r="N62" s="12">
        <v>0</v>
      </c>
      <c r="O62" s="9">
        <f t="shared" si="2"/>
        <v>0</v>
      </c>
      <c r="P62" s="18"/>
    </row>
    <row r="63" spans="1:16" x14ac:dyDescent="0.2">
      <c r="A63" s="1">
        <v>5</v>
      </c>
      <c r="B63" s="1">
        <v>6</v>
      </c>
      <c r="C63" s="1">
        <v>62</v>
      </c>
      <c r="D63" s="1" t="s">
        <v>222</v>
      </c>
      <c r="E63" s="1" t="s">
        <v>575</v>
      </c>
      <c r="F63" s="1" t="s">
        <v>4</v>
      </c>
      <c r="G63" t="s">
        <v>545</v>
      </c>
      <c r="H63">
        <v>317</v>
      </c>
      <c r="I63" s="12">
        <v>32.4</v>
      </c>
      <c r="J63" s="12">
        <f>COUNTIF('Raw Data'!$G$2:$G$100001,'Draft Recap'!D63)</f>
        <v>3</v>
      </c>
      <c r="K63" s="12">
        <v>0</v>
      </c>
      <c r="L63" s="9">
        <f t="shared" ref="L63:L94" si="11">IF(I63=0,0,I63+I63/($Q$1-K63)*(18-$Q$1-1+K63))</f>
        <v>183.6</v>
      </c>
      <c r="M63" s="9">
        <f t="shared" si="1"/>
        <v>-133.4</v>
      </c>
      <c r="N63" s="12">
        <v>1</v>
      </c>
      <c r="O63" s="9">
        <f t="shared" si="2"/>
        <v>2.5</v>
      </c>
      <c r="P63" s="18"/>
    </row>
    <row r="64" spans="1:16" x14ac:dyDescent="0.2">
      <c r="A64" s="1">
        <v>5</v>
      </c>
      <c r="B64" s="1">
        <v>7</v>
      </c>
      <c r="C64" s="1">
        <v>63</v>
      </c>
      <c r="D64" s="1" t="s">
        <v>342</v>
      </c>
      <c r="E64" s="1" t="s">
        <v>571</v>
      </c>
      <c r="F64" s="1" t="s">
        <v>6</v>
      </c>
      <c r="G64" t="s">
        <v>308</v>
      </c>
      <c r="H64">
        <v>156</v>
      </c>
      <c r="I64" s="12">
        <v>41.6</v>
      </c>
      <c r="J64" s="12">
        <f>COUNTIF('Raw Data'!$G$2:$G$100001,'Draft Recap'!D64)</f>
        <v>3</v>
      </c>
      <c r="K64" s="12">
        <v>0</v>
      </c>
      <c r="L64" s="9">
        <f t="shared" si="11"/>
        <v>235.73333333333332</v>
      </c>
      <c r="M64" s="9">
        <f t="shared" si="1"/>
        <v>79.73333333333332</v>
      </c>
      <c r="N64" s="12">
        <v>0</v>
      </c>
      <c r="O64" s="9">
        <f t="shared" si="2"/>
        <v>0</v>
      </c>
      <c r="P64" s="18"/>
    </row>
    <row r="65" spans="1:16" x14ac:dyDescent="0.2">
      <c r="A65" s="1">
        <v>5</v>
      </c>
      <c r="B65" s="1">
        <v>8</v>
      </c>
      <c r="C65" s="1">
        <v>64</v>
      </c>
      <c r="D65" s="1" t="s">
        <v>322</v>
      </c>
      <c r="E65" s="1" t="s">
        <v>554</v>
      </c>
      <c r="F65" s="1" t="s">
        <v>9</v>
      </c>
      <c r="G65" t="s">
        <v>309</v>
      </c>
      <c r="H65">
        <v>168</v>
      </c>
      <c r="I65" s="12">
        <v>30.4</v>
      </c>
      <c r="J65" s="12">
        <f>COUNTIF('Raw Data'!$G$2:$G$100001,'Draft Recap'!D65)</f>
        <v>3</v>
      </c>
      <c r="K65" s="12">
        <v>0</v>
      </c>
      <c r="L65" s="9">
        <f t="shared" si="11"/>
        <v>172.26666666666668</v>
      </c>
      <c r="M65" s="9">
        <f t="shared" si="1"/>
        <v>4.2666666666666799</v>
      </c>
      <c r="N65" s="12">
        <v>0</v>
      </c>
      <c r="O65" s="9">
        <f t="shared" si="2"/>
        <v>0</v>
      </c>
      <c r="P65" s="18"/>
    </row>
    <row r="66" spans="1:16" x14ac:dyDescent="0.2">
      <c r="A66" s="1">
        <v>5</v>
      </c>
      <c r="B66" s="1">
        <v>9</v>
      </c>
      <c r="C66" s="1">
        <v>65</v>
      </c>
      <c r="D66" s="1" t="s">
        <v>199</v>
      </c>
      <c r="E66" s="1" t="s">
        <v>563</v>
      </c>
      <c r="F66" s="1" t="s">
        <v>6</v>
      </c>
      <c r="G66" t="s">
        <v>469</v>
      </c>
      <c r="H66">
        <v>160</v>
      </c>
      <c r="I66" s="12">
        <v>9.3000000000000007</v>
      </c>
      <c r="J66" s="12">
        <f>COUNTIF('Raw Data'!$G$2:$G$100001,'Draft Recap'!D66)</f>
        <v>3</v>
      </c>
      <c r="K66" s="12">
        <v>0</v>
      </c>
      <c r="L66" s="9">
        <f t="shared" si="11"/>
        <v>52.7</v>
      </c>
      <c r="M66" s="9">
        <f t="shared" ref="M66:M129" si="12">L66-H66</f>
        <v>-107.3</v>
      </c>
      <c r="N66" s="12">
        <v>0</v>
      </c>
      <c r="O66" s="9">
        <f t="shared" ref="O66:O129" si="13">N66*(MAX($A$2:$A$211)-A66+1)/4</f>
        <v>0</v>
      </c>
      <c r="P66" s="18"/>
    </row>
    <row r="67" spans="1:16" x14ac:dyDescent="0.2">
      <c r="A67" s="1">
        <v>5</v>
      </c>
      <c r="B67" s="1">
        <v>10</v>
      </c>
      <c r="C67" s="1">
        <v>66</v>
      </c>
      <c r="D67" s="1" t="s">
        <v>197</v>
      </c>
      <c r="E67" s="1" t="s">
        <v>576</v>
      </c>
      <c r="F67" s="1" t="s">
        <v>4</v>
      </c>
      <c r="G67" t="s">
        <v>499</v>
      </c>
      <c r="H67">
        <v>281</v>
      </c>
      <c r="I67" s="12">
        <v>44.98</v>
      </c>
      <c r="J67" s="12">
        <f>COUNTIF('Raw Data'!$G$2:$G$100001,'Draft Recap'!D67)</f>
        <v>3</v>
      </c>
      <c r="K67" s="12">
        <v>0</v>
      </c>
      <c r="L67" s="9">
        <f t="shared" si="11"/>
        <v>254.88666666666663</v>
      </c>
      <c r="M67" s="9">
        <f t="shared" si="12"/>
        <v>-26.113333333333372</v>
      </c>
      <c r="N67" s="12">
        <v>1</v>
      </c>
      <c r="O67" s="9">
        <f t="shared" si="13"/>
        <v>2.5</v>
      </c>
      <c r="P67" s="18"/>
    </row>
    <row r="68" spans="1:16" x14ac:dyDescent="0.2">
      <c r="A68" s="1">
        <v>5</v>
      </c>
      <c r="B68" s="1">
        <v>11</v>
      </c>
      <c r="C68" s="1">
        <v>67</v>
      </c>
      <c r="D68" s="1" t="s">
        <v>35</v>
      </c>
      <c r="E68" s="1" t="s">
        <v>559</v>
      </c>
      <c r="F68" s="1" t="s">
        <v>4</v>
      </c>
      <c r="G68" t="s">
        <v>255</v>
      </c>
      <c r="H68">
        <v>320</v>
      </c>
      <c r="I68" s="12">
        <v>53.5</v>
      </c>
      <c r="J68" s="12">
        <f>COUNTIF('Raw Data'!$G$2:$G$100001,'Draft Recap'!D68)</f>
        <v>3</v>
      </c>
      <c r="K68" s="12">
        <v>0</v>
      </c>
      <c r="L68" s="9">
        <f t="shared" si="11"/>
        <v>303.16666666666663</v>
      </c>
      <c r="M68" s="9">
        <f t="shared" si="12"/>
        <v>-16.833333333333371</v>
      </c>
      <c r="N68" s="12">
        <v>0</v>
      </c>
      <c r="O68" s="9">
        <f t="shared" si="13"/>
        <v>0</v>
      </c>
      <c r="P68" s="18"/>
    </row>
    <row r="69" spans="1:16" x14ac:dyDescent="0.2">
      <c r="A69" s="1">
        <v>5</v>
      </c>
      <c r="B69" s="1">
        <v>12</v>
      </c>
      <c r="C69" s="1">
        <v>68</v>
      </c>
      <c r="D69" s="1" t="s">
        <v>76</v>
      </c>
      <c r="E69" s="1" t="s">
        <v>578</v>
      </c>
      <c r="F69" s="1" t="s">
        <v>6</v>
      </c>
      <c r="G69" t="s">
        <v>494</v>
      </c>
      <c r="H69">
        <v>164</v>
      </c>
      <c r="I69" s="12">
        <v>21.3</v>
      </c>
      <c r="J69" s="12">
        <f>COUNTIF('Raw Data'!$G$2:$G$100001,'Draft Recap'!D69)</f>
        <v>3</v>
      </c>
      <c r="K69" s="12">
        <v>0</v>
      </c>
      <c r="L69" s="9">
        <f t="shared" si="11"/>
        <v>120.7</v>
      </c>
      <c r="M69" s="9">
        <f t="shared" si="12"/>
        <v>-43.3</v>
      </c>
      <c r="N69" s="12">
        <v>0</v>
      </c>
      <c r="O69" s="9">
        <f t="shared" si="13"/>
        <v>0</v>
      </c>
      <c r="P69" s="18"/>
    </row>
    <row r="70" spans="1:16" x14ac:dyDescent="0.2">
      <c r="A70" s="1">
        <v>5</v>
      </c>
      <c r="B70" s="1">
        <v>13</v>
      </c>
      <c r="C70" s="1">
        <v>69</v>
      </c>
      <c r="D70" s="1" t="s">
        <v>95</v>
      </c>
      <c r="E70" s="1" t="s">
        <v>577</v>
      </c>
      <c r="F70" s="1" t="s">
        <v>6</v>
      </c>
      <c r="G70" t="s">
        <v>256</v>
      </c>
      <c r="H70">
        <v>170</v>
      </c>
      <c r="I70" s="12">
        <v>12.2</v>
      </c>
      <c r="J70" s="12">
        <f>COUNTIF('Raw Data'!$G$2:$G$100001,'Draft Recap'!D70)</f>
        <v>3</v>
      </c>
      <c r="K70" s="12">
        <v>0</v>
      </c>
      <c r="L70" s="9">
        <f t="shared" si="11"/>
        <v>69.133333333333326</v>
      </c>
      <c r="M70" s="9">
        <f t="shared" si="12"/>
        <v>-100.86666666666667</v>
      </c>
      <c r="N70" s="12">
        <v>0</v>
      </c>
      <c r="O70" s="9">
        <f t="shared" si="13"/>
        <v>0</v>
      </c>
      <c r="P70" s="18"/>
    </row>
    <row r="71" spans="1:16" x14ac:dyDescent="0.2">
      <c r="A71" s="1">
        <v>5</v>
      </c>
      <c r="B71" s="1">
        <v>14</v>
      </c>
      <c r="C71" s="1">
        <v>70</v>
      </c>
      <c r="D71" s="1" t="s">
        <v>42</v>
      </c>
      <c r="E71" s="1" t="s">
        <v>558</v>
      </c>
      <c r="F71" s="1" t="s">
        <v>4</v>
      </c>
      <c r="G71" t="s">
        <v>343</v>
      </c>
      <c r="H71">
        <v>286</v>
      </c>
      <c r="I71" s="12">
        <v>63.1</v>
      </c>
      <c r="J71" s="12">
        <f>COUNTIF('Raw Data'!$G$2:$G$100001,'Draft Recap'!D71)</f>
        <v>3</v>
      </c>
      <c r="K71" s="12">
        <v>0</v>
      </c>
      <c r="L71" s="9">
        <f t="shared" si="11"/>
        <v>357.56666666666672</v>
      </c>
      <c r="M71" s="9">
        <f t="shared" si="12"/>
        <v>71.56666666666672</v>
      </c>
      <c r="N71" s="12">
        <v>0</v>
      </c>
      <c r="O71" s="9">
        <f t="shared" si="13"/>
        <v>0</v>
      </c>
      <c r="P71" s="18"/>
    </row>
    <row r="72" spans="1:16" x14ac:dyDescent="0.2">
      <c r="A72" s="1">
        <v>6</v>
      </c>
      <c r="B72" s="1">
        <v>1</v>
      </c>
      <c r="C72" s="1">
        <v>71</v>
      </c>
      <c r="D72" s="1" t="s">
        <v>491</v>
      </c>
      <c r="E72" s="1" t="s">
        <v>579</v>
      </c>
      <c r="F72" s="1" t="s">
        <v>6</v>
      </c>
      <c r="G72" t="s">
        <v>343</v>
      </c>
      <c r="H72">
        <v>165</v>
      </c>
      <c r="I72" s="12">
        <v>18.8</v>
      </c>
      <c r="J72" s="12">
        <f>COUNTIF('Raw Data'!$G$2:$G$100001,'Draft Recap'!D72)</f>
        <v>3</v>
      </c>
      <c r="K72" s="12">
        <v>0</v>
      </c>
      <c r="L72" s="9">
        <f t="shared" si="11"/>
        <v>106.53333333333333</v>
      </c>
      <c r="M72" s="9">
        <f t="shared" si="12"/>
        <v>-58.466666666666669</v>
      </c>
      <c r="N72" s="12">
        <v>0</v>
      </c>
      <c r="O72" s="9">
        <f t="shared" si="13"/>
        <v>0</v>
      </c>
      <c r="P72" s="18"/>
    </row>
    <row r="73" spans="1:16" x14ac:dyDescent="0.2">
      <c r="A73" s="1">
        <v>6</v>
      </c>
      <c r="B73" s="1">
        <v>2</v>
      </c>
      <c r="C73" s="1">
        <v>72</v>
      </c>
      <c r="D73" s="1" t="s">
        <v>166</v>
      </c>
      <c r="E73" s="1" t="s">
        <v>580</v>
      </c>
      <c r="F73" s="1" t="s">
        <v>6</v>
      </c>
      <c r="G73" t="s">
        <v>256</v>
      </c>
      <c r="H73">
        <v>160</v>
      </c>
      <c r="I73" s="12">
        <v>60.9</v>
      </c>
      <c r="J73" s="12">
        <f>COUNTIF('Raw Data'!$G$2:$G$100001,'Draft Recap'!D73)</f>
        <v>3</v>
      </c>
      <c r="K73" s="12">
        <v>0</v>
      </c>
      <c r="L73" s="9">
        <f t="shared" si="11"/>
        <v>345.09999999999997</v>
      </c>
      <c r="M73" s="9">
        <f t="shared" si="12"/>
        <v>185.09999999999997</v>
      </c>
      <c r="N73" s="12">
        <v>0</v>
      </c>
      <c r="O73" s="9">
        <f t="shared" si="13"/>
        <v>0</v>
      </c>
      <c r="P73" s="18"/>
    </row>
    <row r="74" spans="1:16" x14ac:dyDescent="0.2">
      <c r="A74" s="1">
        <v>6</v>
      </c>
      <c r="B74" s="1">
        <v>3</v>
      </c>
      <c r="C74" s="1">
        <v>73</v>
      </c>
      <c r="D74" s="1" t="s">
        <v>45</v>
      </c>
      <c r="E74" s="1" t="s">
        <v>579</v>
      </c>
      <c r="F74" s="1" t="s">
        <v>5</v>
      </c>
      <c r="G74" t="s">
        <v>494</v>
      </c>
      <c r="H74">
        <v>170</v>
      </c>
      <c r="I74" s="12">
        <v>22.5</v>
      </c>
      <c r="J74" s="12">
        <f>COUNTIF('Raw Data'!$G$2:$G$100001,'Draft Recap'!D74)</f>
        <v>3</v>
      </c>
      <c r="K74" s="12">
        <v>0</v>
      </c>
      <c r="L74" s="9">
        <f t="shared" si="11"/>
        <v>127.5</v>
      </c>
      <c r="M74" s="9">
        <f t="shared" si="12"/>
        <v>-42.5</v>
      </c>
      <c r="N74" s="12">
        <v>0</v>
      </c>
      <c r="O74" s="9">
        <f t="shared" si="13"/>
        <v>0</v>
      </c>
      <c r="P74" s="18"/>
    </row>
    <row r="75" spans="1:16" x14ac:dyDescent="0.2">
      <c r="A75" s="1">
        <v>6</v>
      </c>
      <c r="B75" s="1">
        <v>4</v>
      </c>
      <c r="C75" s="1">
        <v>74</v>
      </c>
      <c r="D75" s="1" t="s">
        <v>324</v>
      </c>
      <c r="E75" s="1" t="s">
        <v>550</v>
      </c>
      <c r="F75" s="1" t="s">
        <v>9</v>
      </c>
      <c r="G75" t="s">
        <v>255</v>
      </c>
      <c r="H75">
        <v>145</v>
      </c>
      <c r="I75" s="12">
        <v>3</v>
      </c>
      <c r="J75" s="12">
        <f>COUNTIF('Raw Data'!$G$2:$G$100001,'Draft Recap'!D75)</f>
        <v>3</v>
      </c>
      <c r="K75" s="12">
        <v>0</v>
      </c>
      <c r="L75" s="9">
        <f t="shared" si="11"/>
        <v>17</v>
      </c>
      <c r="M75" s="9">
        <f t="shared" si="12"/>
        <v>-128</v>
      </c>
      <c r="N75" s="12">
        <v>0</v>
      </c>
      <c r="O75" s="9">
        <f t="shared" si="13"/>
        <v>0</v>
      </c>
      <c r="P75" s="18"/>
    </row>
    <row r="76" spans="1:16" x14ac:dyDescent="0.2">
      <c r="A76" s="1">
        <v>6</v>
      </c>
      <c r="B76" s="1">
        <v>5</v>
      </c>
      <c r="C76" s="1">
        <v>75</v>
      </c>
      <c r="D76" s="1" t="s">
        <v>98</v>
      </c>
      <c r="E76" s="1" t="s">
        <v>556</v>
      </c>
      <c r="F76" s="1" t="s">
        <v>9</v>
      </c>
      <c r="G76" t="s">
        <v>499</v>
      </c>
      <c r="H76">
        <v>155</v>
      </c>
      <c r="I76" s="12">
        <v>41.4</v>
      </c>
      <c r="J76" s="12">
        <f>COUNTIF('Raw Data'!$G$2:$G$100001,'Draft Recap'!D76)</f>
        <v>3</v>
      </c>
      <c r="K76" s="12">
        <v>0</v>
      </c>
      <c r="L76" s="9">
        <f t="shared" si="11"/>
        <v>234.6</v>
      </c>
      <c r="M76" s="9">
        <f t="shared" si="12"/>
        <v>79.599999999999994</v>
      </c>
      <c r="N76" s="12">
        <v>0</v>
      </c>
      <c r="O76" s="9">
        <f t="shared" si="13"/>
        <v>0</v>
      </c>
      <c r="P76" s="18"/>
    </row>
    <row r="77" spans="1:16" x14ac:dyDescent="0.2">
      <c r="A77" s="1">
        <v>6</v>
      </c>
      <c r="B77" s="1">
        <v>6</v>
      </c>
      <c r="C77" s="1">
        <v>76</v>
      </c>
      <c r="D77" s="1" t="s">
        <v>250</v>
      </c>
      <c r="E77" s="1" t="s">
        <v>580</v>
      </c>
      <c r="F77" s="1" t="s">
        <v>9</v>
      </c>
      <c r="G77" t="s">
        <v>469</v>
      </c>
      <c r="H77">
        <v>138</v>
      </c>
      <c r="I77" s="12">
        <v>15.1</v>
      </c>
      <c r="J77" s="12">
        <f>COUNTIF('Raw Data'!$G$2:$G$100001,'Draft Recap'!D77)</f>
        <v>3</v>
      </c>
      <c r="K77" s="12">
        <v>0</v>
      </c>
      <c r="L77" s="9">
        <f t="shared" si="11"/>
        <v>85.566666666666663</v>
      </c>
      <c r="M77" s="9">
        <f t="shared" si="12"/>
        <v>-52.433333333333337</v>
      </c>
      <c r="N77" s="12">
        <v>0</v>
      </c>
      <c r="O77" s="9">
        <f t="shared" si="13"/>
        <v>0</v>
      </c>
      <c r="P77" s="18"/>
    </row>
    <row r="78" spans="1:16" x14ac:dyDescent="0.2">
      <c r="A78" s="1">
        <v>6</v>
      </c>
      <c r="B78" s="1">
        <v>7</v>
      </c>
      <c r="C78" s="1">
        <v>77</v>
      </c>
      <c r="D78" s="1" t="s">
        <v>114</v>
      </c>
      <c r="E78" s="1" t="s">
        <v>556</v>
      </c>
      <c r="F78" s="1" t="s">
        <v>6</v>
      </c>
      <c r="G78" t="s">
        <v>309</v>
      </c>
      <c r="H78">
        <v>152</v>
      </c>
      <c r="I78" s="12">
        <v>31.7</v>
      </c>
      <c r="J78" s="12">
        <f>COUNTIF('Raw Data'!$G$2:$G$100001,'Draft Recap'!D78)</f>
        <v>3</v>
      </c>
      <c r="K78" s="12">
        <v>0</v>
      </c>
      <c r="L78" s="9">
        <f t="shared" si="11"/>
        <v>179.63333333333333</v>
      </c>
      <c r="M78" s="9">
        <f t="shared" si="12"/>
        <v>27.633333333333326</v>
      </c>
      <c r="N78" s="12">
        <v>0</v>
      </c>
      <c r="O78" s="9">
        <f t="shared" si="13"/>
        <v>0</v>
      </c>
      <c r="P78" s="18"/>
    </row>
    <row r="79" spans="1:16" x14ac:dyDescent="0.2">
      <c r="A79" s="1">
        <v>6</v>
      </c>
      <c r="B79" s="1">
        <v>8</v>
      </c>
      <c r="C79" s="1">
        <v>78</v>
      </c>
      <c r="D79" s="1" t="s">
        <v>226</v>
      </c>
      <c r="E79" s="1" t="s">
        <v>574</v>
      </c>
      <c r="F79" s="1" t="s">
        <v>5</v>
      </c>
      <c r="G79" t="s">
        <v>308</v>
      </c>
      <c r="H79">
        <v>161</v>
      </c>
      <c r="I79" s="12">
        <v>8.3000000000000007</v>
      </c>
      <c r="J79" s="12">
        <f>COUNTIF('Raw Data'!$G$2:$G$100001,'Draft Recap'!D79)</f>
        <v>3</v>
      </c>
      <c r="K79" s="12">
        <v>0</v>
      </c>
      <c r="L79" s="9">
        <f t="shared" si="11"/>
        <v>47.033333333333346</v>
      </c>
      <c r="M79" s="9">
        <f t="shared" si="12"/>
        <v>-113.96666666666665</v>
      </c>
      <c r="N79" s="12">
        <v>1</v>
      </c>
      <c r="O79" s="9">
        <f t="shared" si="13"/>
        <v>2.25</v>
      </c>
      <c r="P79" s="18"/>
    </row>
    <row r="80" spans="1:16" x14ac:dyDescent="0.2">
      <c r="A80" s="1">
        <v>6</v>
      </c>
      <c r="B80" s="1">
        <v>9</v>
      </c>
      <c r="C80" s="1">
        <v>79</v>
      </c>
      <c r="D80" s="1" t="s">
        <v>39</v>
      </c>
      <c r="E80" s="1" t="s">
        <v>578</v>
      </c>
      <c r="F80" s="1" t="s">
        <v>6</v>
      </c>
      <c r="G80" t="s">
        <v>545</v>
      </c>
      <c r="H80">
        <v>153</v>
      </c>
      <c r="I80" s="12">
        <v>9.9</v>
      </c>
      <c r="J80" s="12">
        <f>COUNTIF('Raw Data'!$G$2:$G$100001,'Draft Recap'!D80)</f>
        <v>3</v>
      </c>
      <c r="K80" s="12">
        <v>0</v>
      </c>
      <c r="L80" s="9">
        <f t="shared" si="11"/>
        <v>56.1</v>
      </c>
      <c r="M80" s="9">
        <f t="shared" si="12"/>
        <v>-96.9</v>
      </c>
      <c r="N80" s="12">
        <v>0</v>
      </c>
      <c r="O80" s="9">
        <f t="shared" si="13"/>
        <v>0</v>
      </c>
      <c r="P80" s="18"/>
    </row>
    <row r="81" spans="1:16" x14ac:dyDescent="0.2">
      <c r="A81" s="1">
        <v>6</v>
      </c>
      <c r="B81" s="1">
        <v>10</v>
      </c>
      <c r="C81" s="1">
        <v>80</v>
      </c>
      <c r="D81" s="1" t="s">
        <v>243</v>
      </c>
      <c r="E81" s="1" t="s">
        <v>554</v>
      </c>
      <c r="F81" s="1" t="s">
        <v>6</v>
      </c>
      <c r="G81" t="s">
        <v>468</v>
      </c>
      <c r="H81">
        <v>155</v>
      </c>
      <c r="I81" s="12">
        <v>9.6999999999999993</v>
      </c>
      <c r="J81" s="12">
        <f>COUNTIF('Raw Data'!$G$2:$G$100001,'Draft Recap'!D81)</f>
        <v>3</v>
      </c>
      <c r="K81" s="12">
        <v>0</v>
      </c>
      <c r="L81" s="9">
        <f t="shared" si="11"/>
        <v>54.966666666666654</v>
      </c>
      <c r="M81" s="9">
        <f t="shared" si="12"/>
        <v>-100.03333333333335</v>
      </c>
      <c r="N81" s="12">
        <v>1</v>
      </c>
      <c r="O81" s="9">
        <f t="shared" si="13"/>
        <v>2.25</v>
      </c>
      <c r="P81" s="18"/>
    </row>
    <row r="82" spans="1:16" x14ac:dyDescent="0.2">
      <c r="A82" s="1">
        <v>6</v>
      </c>
      <c r="B82" s="1">
        <v>11</v>
      </c>
      <c r="C82" s="1">
        <v>81</v>
      </c>
      <c r="D82" s="1" t="s">
        <v>194</v>
      </c>
      <c r="E82" s="1" t="s">
        <v>578</v>
      </c>
      <c r="F82" s="1" t="s">
        <v>5</v>
      </c>
      <c r="G82" t="s">
        <v>484</v>
      </c>
      <c r="H82">
        <v>171</v>
      </c>
      <c r="I82" s="12">
        <v>35.6</v>
      </c>
      <c r="J82" s="12">
        <f>COUNTIF('Raw Data'!$G$2:$G$100001,'Draft Recap'!D82)</f>
        <v>3</v>
      </c>
      <c r="K82" s="12">
        <v>0</v>
      </c>
      <c r="L82" s="9">
        <f t="shared" si="11"/>
        <v>201.73333333333332</v>
      </c>
      <c r="M82" s="9">
        <f t="shared" si="12"/>
        <v>30.73333333333332</v>
      </c>
      <c r="N82" s="12">
        <v>0</v>
      </c>
      <c r="O82" s="9">
        <f t="shared" si="13"/>
        <v>0</v>
      </c>
      <c r="P82" s="18"/>
    </row>
    <row r="83" spans="1:16" x14ac:dyDescent="0.2">
      <c r="A83" s="1">
        <v>6</v>
      </c>
      <c r="B83" s="1">
        <v>12</v>
      </c>
      <c r="C83" s="1">
        <v>82</v>
      </c>
      <c r="D83" s="1" t="s">
        <v>229</v>
      </c>
      <c r="E83" s="1" t="s">
        <v>578</v>
      </c>
      <c r="F83" s="1" t="s">
        <v>5</v>
      </c>
      <c r="G83" t="s">
        <v>463</v>
      </c>
      <c r="H83">
        <v>174</v>
      </c>
      <c r="I83" s="12">
        <v>8.5</v>
      </c>
      <c r="J83" s="12">
        <f>COUNTIF('Raw Data'!$G$2:$G$100001,'Draft Recap'!D83)</f>
        <v>3</v>
      </c>
      <c r="K83" s="12">
        <v>0</v>
      </c>
      <c r="L83" s="9">
        <f t="shared" si="11"/>
        <v>48.166666666666671</v>
      </c>
      <c r="M83" s="9">
        <f t="shared" si="12"/>
        <v>-125.83333333333333</v>
      </c>
      <c r="N83" s="12">
        <v>1</v>
      </c>
      <c r="O83" s="9">
        <f t="shared" si="13"/>
        <v>2.25</v>
      </c>
      <c r="P83" s="18"/>
    </row>
    <row r="84" spans="1:16" x14ac:dyDescent="0.2">
      <c r="A84" s="1">
        <v>6</v>
      </c>
      <c r="B84" s="1">
        <v>13</v>
      </c>
      <c r="C84" s="1">
        <v>83</v>
      </c>
      <c r="D84" s="1" t="s">
        <v>204</v>
      </c>
      <c r="E84" s="1" t="s">
        <v>549</v>
      </c>
      <c r="F84" s="1" t="s">
        <v>9</v>
      </c>
      <c r="G84" t="s">
        <v>483</v>
      </c>
      <c r="H84">
        <v>150</v>
      </c>
      <c r="I84" s="12">
        <v>27.4</v>
      </c>
      <c r="J84" s="12">
        <f>COUNTIF('Raw Data'!$G$2:$G$100001,'Draft Recap'!D84)</f>
        <v>3</v>
      </c>
      <c r="K84" s="12">
        <v>0</v>
      </c>
      <c r="L84" s="9">
        <f t="shared" si="11"/>
        <v>155.26666666666665</v>
      </c>
      <c r="M84" s="9">
        <f t="shared" si="12"/>
        <v>5.2666666666666515</v>
      </c>
      <c r="N84" s="12">
        <v>0</v>
      </c>
      <c r="O84" s="9">
        <f t="shared" si="13"/>
        <v>0</v>
      </c>
      <c r="P84" s="18"/>
    </row>
    <row r="85" spans="1:16" x14ac:dyDescent="0.2">
      <c r="A85" s="1">
        <v>6</v>
      </c>
      <c r="B85" s="1">
        <v>14</v>
      </c>
      <c r="C85" s="1">
        <v>84</v>
      </c>
      <c r="D85" s="1" t="s">
        <v>480</v>
      </c>
      <c r="E85" s="1" t="s">
        <v>570</v>
      </c>
      <c r="F85" s="1" t="s">
        <v>5</v>
      </c>
      <c r="G85" t="s">
        <v>478</v>
      </c>
      <c r="H85">
        <v>152</v>
      </c>
      <c r="I85" s="12">
        <v>7.3</v>
      </c>
      <c r="J85" s="12">
        <f>COUNTIF('Raw Data'!$G$2:$G$100001,'Draft Recap'!D85)</f>
        <v>3</v>
      </c>
      <c r="K85" s="12">
        <v>0</v>
      </c>
      <c r="L85" s="9">
        <f t="shared" si="11"/>
        <v>41.36666666666666</v>
      </c>
      <c r="M85" s="9">
        <f t="shared" si="12"/>
        <v>-110.63333333333334</v>
      </c>
      <c r="N85" s="12">
        <v>0</v>
      </c>
      <c r="O85" s="9">
        <f t="shared" si="13"/>
        <v>0</v>
      </c>
      <c r="P85" s="18"/>
    </row>
    <row r="86" spans="1:16" x14ac:dyDescent="0.2">
      <c r="A86" s="1">
        <v>7</v>
      </c>
      <c r="B86" s="1">
        <v>1</v>
      </c>
      <c r="C86" s="1">
        <v>85</v>
      </c>
      <c r="D86" s="1" t="s">
        <v>225</v>
      </c>
      <c r="E86" s="1" t="s">
        <v>580</v>
      </c>
      <c r="F86" s="1" t="s">
        <v>5</v>
      </c>
      <c r="G86" t="s">
        <v>478</v>
      </c>
      <c r="H86">
        <v>124</v>
      </c>
      <c r="I86" s="12">
        <v>14.1</v>
      </c>
      <c r="J86" s="12">
        <f>COUNTIF('Raw Data'!$G$2:$G$100001,'Draft Recap'!D86)</f>
        <v>3</v>
      </c>
      <c r="K86" s="12">
        <v>0</v>
      </c>
      <c r="L86" s="9">
        <f t="shared" si="11"/>
        <v>79.899999999999991</v>
      </c>
      <c r="M86" s="9">
        <f t="shared" si="12"/>
        <v>-44.100000000000009</v>
      </c>
      <c r="N86" s="12">
        <v>0</v>
      </c>
      <c r="O86" s="9">
        <f t="shared" si="13"/>
        <v>0</v>
      </c>
      <c r="P86" s="18"/>
    </row>
    <row r="87" spans="1:16" x14ac:dyDescent="0.2">
      <c r="A87" s="1">
        <v>7</v>
      </c>
      <c r="B87" s="1">
        <v>2</v>
      </c>
      <c r="C87" s="1">
        <v>86</v>
      </c>
      <c r="D87" s="1" t="s">
        <v>78</v>
      </c>
      <c r="E87" s="1" t="s">
        <v>571</v>
      </c>
      <c r="F87" s="1" t="s">
        <v>6</v>
      </c>
      <c r="G87" t="s">
        <v>483</v>
      </c>
      <c r="H87">
        <v>147</v>
      </c>
      <c r="I87" s="12">
        <v>30.4</v>
      </c>
      <c r="J87" s="12">
        <f>COUNTIF('Raw Data'!$G$2:$G$100001,'Draft Recap'!D87)</f>
        <v>3</v>
      </c>
      <c r="K87" s="12">
        <v>0</v>
      </c>
      <c r="L87" s="9">
        <f t="shared" si="11"/>
        <v>172.26666666666668</v>
      </c>
      <c r="M87" s="9">
        <f t="shared" si="12"/>
        <v>25.26666666666668</v>
      </c>
      <c r="N87" s="12">
        <v>0</v>
      </c>
      <c r="O87" s="9">
        <f t="shared" si="13"/>
        <v>0</v>
      </c>
      <c r="P87" s="18"/>
    </row>
    <row r="88" spans="1:16" x14ac:dyDescent="0.2">
      <c r="A88" s="1">
        <v>7</v>
      </c>
      <c r="B88" s="1">
        <v>3</v>
      </c>
      <c r="C88" s="1">
        <v>87</v>
      </c>
      <c r="D88" s="1" t="s">
        <v>200</v>
      </c>
      <c r="E88" s="1" t="s">
        <v>552</v>
      </c>
      <c r="F88" s="1" t="s">
        <v>5</v>
      </c>
      <c r="G88" t="s">
        <v>463</v>
      </c>
      <c r="H88">
        <v>151</v>
      </c>
      <c r="I88" s="12">
        <v>17.600000000000001</v>
      </c>
      <c r="J88" s="12">
        <f>COUNTIF('Raw Data'!$G$2:$G$100001,'Draft Recap'!D88)</f>
        <v>3</v>
      </c>
      <c r="K88" s="12">
        <v>0</v>
      </c>
      <c r="L88" s="9">
        <f t="shared" si="11"/>
        <v>99.733333333333348</v>
      </c>
      <c r="M88" s="9">
        <f t="shared" si="12"/>
        <v>-51.266666666666652</v>
      </c>
      <c r="N88" s="12">
        <v>0</v>
      </c>
      <c r="O88" s="9">
        <f t="shared" si="13"/>
        <v>0</v>
      </c>
      <c r="P88" s="18"/>
    </row>
    <row r="89" spans="1:16" x14ac:dyDescent="0.2">
      <c r="A89" s="1">
        <v>7</v>
      </c>
      <c r="B89" s="1">
        <v>4</v>
      </c>
      <c r="C89" s="1">
        <v>88</v>
      </c>
      <c r="D89" s="1" t="s">
        <v>333</v>
      </c>
      <c r="E89" s="1" t="s">
        <v>572</v>
      </c>
      <c r="F89" s="1" t="s">
        <v>9</v>
      </c>
      <c r="G89" t="s">
        <v>484</v>
      </c>
      <c r="H89">
        <v>147</v>
      </c>
      <c r="I89" s="12">
        <v>31.6</v>
      </c>
      <c r="J89" s="12">
        <f>COUNTIF('Raw Data'!$G$2:$G$100001,'Draft Recap'!D89)</f>
        <v>3</v>
      </c>
      <c r="K89" s="12">
        <v>0</v>
      </c>
      <c r="L89" s="9">
        <f t="shared" si="11"/>
        <v>179.06666666666666</v>
      </c>
      <c r="M89" s="9">
        <f t="shared" si="12"/>
        <v>32.066666666666663</v>
      </c>
      <c r="N89" s="12">
        <v>0</v>
      </c>
      <c r="O89" s="9">
        <f t="shared" si="13"/>
        <v>0</v>
      </c>
      <c r="P89" s="18"/>
    </row>
    <row r="90" spans="1:16" x14ac:dyDescent="0.2">
      <c r="A90" s="1">
        <v>7</v>
      </c>
      <c r="B90" s="1">
        <v>5</v>
      </c>
      <c r="C90" s="1">
        <v>89</v>
      </c>
      <c r="D90" s="1" t="s">
        <v>207</v>
      </c>
      <c r="E90" s="1" t="s">
        <v>571</v>
      </c>
      <c r="F90" s="1" t="s">
        <v>6</v>
      </c>
      <c r="G90" t="s">
        <v>468</v>
      </c>
      <c r="H90">
        <v>149</v>
      </c>
      <c r="I90" s="12">
        <v>12.3</v>
      </c>
      <c r="J90" s="12">
        <f>COUNTIF('Raw Data'!$G$2:$G$100001,'Draft Recap'!D90)</f>
        <v>3</v>
      </c>
      <c r="K90" s="12">
        <v>0</v>
      </c>
      <c r="L90" s="9">
        <f t="shared" si="11"/>
        <v>69.7</v>
      </c>
      <c r="M90" s="9">
        <f t="shared" si="12"/>
        <v>-79.3</v>
      </c>
      <c r="N90" s="12">
        <v>0</v>
      </c>
      <c r="O90" s="9">
        <f t="shared" si="13"/>
        <v>0</v>
      </c>
      <c r="P90" s="18"/>
    </row>
    <row r="91" spans="1:16" x14ac:dyDescent="0.2">
      <c r="A91" s="1">
        <v>7</v>
      </c>
      <c r="B91" s="1">
        <v>6</v>
      </c>
      <c r="C91" s="1">
        <v>90</v>
      </c>
      <c r="D91" s="1" t="s">
        <v>149</v>
      </c>
      <c r="E91" s="1" t="s">
        <v>579</v>
      </c>
      <c r="F91" s="1" t="s">
        <v>6</v>
      </c>
      <c r="G91" t="s">
        <v>545</v>
      </c>
      <c r="H91">
        <v>136</v>
      </c>
      <c r="I91" s="12">
        <v>22.9</v>
      </c>
      <c r="J91" s="12">
        <f>COUNTIF('Raw Data'!$G$2:$G$100001,'Draft Recap'!D91)</f>
        <v>3</v>
      </c>
      <c r="K91" s="12">
        <v>0</v>
      </c>
      <c r="L91" s="9">
        <f t="shared" si="11"/>
        <v>129.76666666666665</v>
      </c>
      <c r="M91" s="9">
        <f t="shared" si="12"/>
        <v>-6.2333333333333485</v>
      </c>
      <c r="N91" s="12">
        <v>0</v>
      </c>
      <c r="O91" s="9">
        <f t="shared" si="13"/>
        <v>0</v>
      </c>
      <c r="P91" s="18"/>
    </row>
    <row r="92" spans="1:16" x14ac:dyDescent="0.2">
      <c r="A92" s="1">
        <v>7</v>
      </c>
      <c r="B92" s="1">
        <v>7</v>
      </c>
      <c r="C92" s="1">
        <v>91</v>
      </c>
      <c r="D92" s="1" t="s">
        <v>43</v>
      </c>
      <c r="E92" s="1" t="s">
        <v>580</v>
      </c>
      <c r="F92" s="1" t="s">
        <v>5</v>
      </c>
      <c r="G92" t="s">
        <v>308</v>
      </c>
      <c r="H92">
        <v>152</v>
      </c>
      <c r="I92" s="12">
        <v>0</v>
      </c>
      <c r="J92" s="12">
        <f>COUNTIF('Raw Data'!$G$2:$G$100001,'Draft Recap'!D92)</f>
        <v>3</v>
      </c>
      <c r="K92" s="12">
        <v>0</v>
      </c>
      <c r="L92" s="9">
        <f t="shared" si="11"/>
        <v>0</v>
      </c>
      <c r="M92" s="9">
        <f t="shared" si="12"/>
        <v>-152</v>
      </c>
      <c r="N92" s="12">
        <v>0</v>
      </c>
      <c r="O92" s="9">
        <f t="shared" si="13"/>
        <v>0</v>
      </c>
      <c r="P92" s="18"/>
    </row>
    <row r="93" spans="1:16" x14ac:dyDescent="0.2">
      <c r="A93" s="1">
        <v>7</v>
      </c>
      <c r="B93" s="1">
        <v>8</v>
      </c>
      <c r="C93" s="1">
        <v>92</v>
      </c>
      <c r="D93" s="1" t="s">
        <v>345</v>
      </c>
      <c r="E93" s="1" t="s">
        <v>573</v>
      </c>
      <c r="F93" s="1" t="s">
        <v>4</v>
      </c>
      <c r="G93" t="s">
        <v>309</v>
      </c>
      <c r="H93">
        <v>299</v>
      </c>
      <c r="I93" s="12">
        <v>27.4</v>
      </c>
      <c r="J93" s="12">
        <f>COUNTIF('Raw Data'!$G$2:$G$100001,'Draft Recap'!D93)</f>
        <v>3</v>
      </c>
      <c r="K93" s="12">
        <v>0</v>
      </c>
      <c r="L93" s="9">
        <f t="shared" si="11"/>
        <v>155.26666666666665</v>
      </c>
      <c r="M93" s="9">
        <f t="shared" si="12"/>
        <v>-143.73333333333335</v>
      </c>
      <c r="N93" s="12">
        <v>1</v>
      </c>
      <c r="O93" s="9">
        <f t="shared" si="13"/>
        <v>2</v>
      </c>
      <c r="P93" s="18"/>
    </row>
    <row r="94" spans="1:16" x14ac:dyDescent="0.2">
      <c r="A94" s="1">
        <v>7</v>
      </c>
      <c r="B94" s="1">
        <v>9</v>
      </c>
      <c r="C94" s="1">
        <v>93</v>
      </c>
      <c r="D94" s="1" t="s">
        <v>100</v>
      </c>
      <c r="E94" s="1" t="s">
        <v>577</v>
      </c>
      <c r="F94" s="1" t="s">
        <v>5</v>
      </c>
      <c r="G94" t="s">
        <v>469</v>
      </c>
      <c r="H94">
        <v>165</v>
      </c>
      <c r="I94" s="12">
        <v>13</v>
      </c>
      <c r="J94" s="12">
        <f>COUNTIF('Raw Data'!$G$2:$G$100001,'Draft Recap'!D94)</f>
        <v>3</v>
      </c>
      <c r="K94" s="12">
        <v>0</v>
      </c>
      <c r="L94" s="9">
        <f t="shared" si="11"/>
        <v>73.666666666666657</v>
      </c>
      <c r="M94" s="9">
        <f t="shared" si="12"/>
        <v>-91.333333333333343</v>
      </c>
      <c r="N94" s="12">
        <v>0</v>
      </c>
      <c r="O94" s="9">
        <f t="shared" si="13"/>
        <v>0</v>
      </c>
      <c r="P94" s="18"/>
    </row>
    <row r="95" spans="1:16" x14ac:dyDescent="0.2">
      <c r="A95" s="1">
        <v>7</v>
      </c>
      <c r="B95" s="1">
        <v>10</v>
      </c>
      <c r="C95" s="1">
        <v>94</v>
      </c>
      <c r="D95" s="1" t="s">
        <v>228</v>
      </c>
      <c r="E95" s="1" t="s">
        <v>558</v>
      </c>
      <c r="F95" s="1" t="s">
        <v>13</v>
      </c>
      <c r="G95" t="s">
        <v>499</v>
      </c>
      <c r="H95">
        <v>149</v>
      </c>
      <c r="I95" s="12">
        <v>29</v>
      </c>
      <c r="J95" s="12">
        <f>COUNTIF('Raw Data'!$G$2:$G$100001,'Draft Recap'!D95)</f>
        <v>3</v>
      </c>
      <c r="K95" s="12">
        <v>0</v>
      </c>
      <c r="L95" s="9">
        <f t="shared" ref="L95:L126" si="14">IF(I95=0,0,I95+I95/($Q$1-K95)*(18-$Q$1-1+K95))</f>
        <v>164.33333333333331</v>
      </c>
      <c r="M95" s="9">
        <f t="shared" si="12"/>
        <v>15.333333333333314</v>
      </c>
      <c r="N95" s="12">
        <v>0</v>
      </c>
      <c r="O95" s="9">
        <f t="shared" si="13"/>
        <v>0</v>
      </c>
      <c r="P95" s="18"/>
    </row>
    <row r="96" spans="1:16" x14ac:dyDescent="0.2">
      <c r="A96" s="1">
        <v>7</v>
      </c>
      <c r="B96" s="1">
        <v>11</v>
      </c>
      <c r="C96" s="1">
        <v>95</v>
      </c>
      <c r="D96" s="1" t="s">
        <v>201</v>
      </c>
      <c r="E96" s="1" t="s">
        <v>574</v>
      </c>
      <c r="F96" s="1" t="s">
        <v>5</v>
      </c>
      <c r="G96" t="s">
        <v>255</v>
      </c>
      <c r="H96">
        <v>160</v>
      </c>
      <c r="I96" s="12">
        <v>48.6</v>
      </c>
      <c r="J96" s="12">
        <f>COUNTIF('Raw Data'!$G$2:$G$100001,'Draft Recap'!D96)</f>
        <v>3</v>
      </c>
      <c r="K96" s="12">
        <v>0</v>
      </c>
      <c r="L96" s="9">
        <f t="shared" si="14"/>
        <v>275.39999999999998</v>
      </c>
      <c r="M96" s="9">
        <f t="shared" si="12"/>
        <v>115.39999999999998</v>
      </c>
      <c r="N96" s="12">
        <v>0</v>
      </c>
      <c r="O96" s="9">
        <f t="shared" si="13"/>
        <v>0</v>
      </c>
      <c r="P96" s="18"/>
    </row>
    <row r="97" spans="1:16" x14ac:dyDescent="0.2">
      <c r="A97" s="1">
        <v>7</v>
      </c>
      <c r="B97" s="1">
        <v>12</v>
      </c>
      <c r="C97" s="1">
        <v>96</v>
      </c>
      <c r="D97" s="1" t="s">
        <v>118</v>
      </c>
      <c r="E97" s="1" t="s">
        <v>571</v>
      </c>
      <c r="F97" s="1" t="s">
        <v>4</v>
      </c>
      <c r="G97" t="s">
        <v>494</v>
      </c>
      <c r="H97">
        <v>289</v>
      </c>
      <c r="I97" s="12">
        <v>52.04</v>
      </c>
      <c r="J97" s="12">
        <f>COUNTIF('Raw Data'!$G$2:$G$100001,'Draft Recap'!D97)</f>
        <v>3</v>
      </c>
      <c r="K97" s="12">
        <v>0</v>
      </c>
      <c r="L97" s="9">
        <f t="shared" si="14"/>
        <v>294.89333333333337</v>
      </c>
      <c r="M97" s="9">
        <f t="shared" si="12"/>
        <v>5.8933333333333735</v>
      </c>
      <c r="N97" s="12">
        <v>0</v>
      </c>
      <c r="O97" s="9">
        <f t="shared" si="13"/>
        <v>0</v>
      </c>
      <c r="P97" s="18"/>
    </row>
    <row r="98" spans="1:16" x14ac:dyDescent="0.2">
      <c r="A98" s="1">
        <v>7</v>
      </c>
      <c r="B98" s="1">
        <v>13</v>
      </c>
      <c r="C98" s="1">
        <v>97</v>
      </c>
      <c r="D98" s="1" t="s">
        <v>57</v>
      </c>
      <c r="E98" s="1" t="s">
        <v>559</v>
      </c>
      <c r="F98" s="1" t="s">
        <v>9</v>
      </c>
      <c r="G98" t="s">
        <v>256</v>
      </c>
      <c r="H98">
        <v>142</v>
      </c>
      <c r="I98" s="12">
        <v>22.6</v>
      </c>
      <c r="J98" s="12">
        <f>COUNTIF('Raw Data'!$G$2:$G$100001,'Draft Recap'!D98)</f>
        <v>3</v>
      </c>
      <c r="K98" s="12">
        <v>0</v>
      </c>
      <c r="L98" s="9">
        <f t="shared" si="14"/>
        <v>128.06666666666669</v>
      </c>
      <c r="M98" s="9">
        <f t="shared" si="12"/>
        <v>-13.933333333333309</v>
      </c>
      <c r="N98" s="12">
        <v>1</v>
      </c>
      <c r="O98" s="9">
        <f t="shared" si="13"/>
        <v>2</v>
      </c>
      <c r="P98" s="18"/>
    </row>
    <row r="99" spans="1:16" x14ac:dyDescent="0.2">
      <c r="A99" s="1">
        <v>7</v>
      </c>
      <c r="B99" s="1">
        <v>14</v>
      </c>
      <c r="C99" s="1">
        <v>98</v>
      </c>
      <c r="D99" s="1" t="s">
        <v>236</v>
      </c>
      <c r="E99" s="1" t="s">
        <v>560</v>
      </c>
      <c r="F99" s="1" t="s">
        <v>13</v>
      </c>
      <c r="G99" t="s">
        <v>343</v>
      </c>
      <c r="H99">
        <v>133</v>
      </c>
      <c r="I99" s="12">
        <v>12</v>
      </c>
      <c r="J99" s="12">
        <f>COUNTIF('Raw Data'!$G$2:$G$100001,'Draft Recap'!D99)</f>
        <v>3</v>
      </c>
      <c r="K99" s="12">
        <v>0</v>
      </c>
      <c r="L99" s="9">
        <f t="shared" si="14"/>
        <v>68</v>
      </c>
      <c r="M99" s="9">
        <f t="shared" si="12"/>
        <v>-65</v>
      </c>
      <c r="N99" s="12">
        <v>0</v>
      </c>
      <c r="O99" s="9">
        <f t="shared" si="13"/>
        <v>0</v>
      </c>
      <c r="P99" s="18"/>
    </row>
    <row r="100" spans="1:16" x14ac:dyDescent="0.2">
      <c r="A100" s="1">
        <v>8</v>
      </c>
      <c r="B100" s="1">
        <v>1</v>
      </c>
      <c r="C100" s="1">
        <v>99</v>
      </c>
      <c r="D100" s="1" t="s">
        <v>254</v>
      </c>
      <c r="E100" s="1" t="s">
        <v>564</v>
      </c>
      <c r="F100" s="1" t="s">
        <v>12</v>
      </c>
      <c r="G100" t="s">
        <v>343</v>
      </c>
      <c r="H100">
        <v>109</v>
      </c>
      <c r="I100" s="12">
        <v>13</v>
      </c>
      <c r="J100" s="12">
        <f>COUNTIF('Raw Data'!$G$2:$G$100001,'Draft Recap'!D100)</f>
        <v>3</v>
      </c>
      <c r="K100" s="12">
        <v>0</v>
      </c>
      <c r="L100" s="9">
        <f t="shared" si="14"/>
        <v>73.666666666666657</v>
      </c>
      <c r="M100" s="9">
        <f t="shared" si="12"/>
        <v>-35.333333333333343</v>
      </c>
      <c r="N100" s="12">
        <v>0</v>
      </c>
      <c r="O100" s="9">
        <f t="shared" si="13"/>
        <v>0</v>
      </c>
      <c r="P100" s="18"/>
    </row>
    <row r="101" spans="1:16" x14ac:dyDescent="0.2">
      <c r="A101" s="1">
        <v>8</v>
      </c>
      <c r="B101" s="1">
        <v>2</v>
      </c>
      <c r="C101" s="1">
        <v>100</v>
      </c>
      <c r="D101" s="1" t="s">
        <v>26</v>
      </c>
      <c r="E101" s="1" t="s">
        <v>575</v>
      </c>
      <c r="F101" s="1" t="s">
        <v>6</v>
      </c>
      <c r="G101" t="s">
        <v>256</v>
      </c>
      <c r="H101">
        <v>136</v>
      </c>
      <c r="I101" s="12">
        <v>38</v>
      </c>
      <c r="J101" s="12">
        <f>COUNTIF('Raw Data'!$G$2:$G$100001,'Draft Recap'!D101)</f>
        <v>3</v>
      </c>
      <c r="K101" s="12">
        <v>0</v>
      </c>
      <c r="L101" s="9">
        <f t="shared" si="14"/>
        <v>215.33333333333331</v>
      </c>
      <c r="M101" s="9">
        <f t="shared" si="12"/>
        <v>79.333333333333314</v>
      </c>
      <c r="N101" s="12">
        <v>0</v>
      </c>
      <c r="O101" s="9">
        <f t="shared" si="13"/>
        <v>0</v>
      </c>
      <c r="P101" s="18"/>
    </row>
    <row r="102" spans="1:16" x14ac:dyDescent="0.2">
      <c r="A102" s="1">
        <v>8</v>
      </c>
      <c r="B102" s="1">
        <v>3</v>
      </c>
      <c r="C102" s="1">
        <v>101</v>
      </c>
      <c r="D102" s="1" t="s">
        <v>213</v>
      </c>
      <c r="E102" s="1" t="s">
        <v>556</v>
      </c>
      <c r="F102" s="1" t="s">
        <v>6</v>
      </c>
      <c r="G102" t="s">
        <v>494</v>
      </c>
      <c r="H102">
        <v>125</v>
      </c>
      <c r="I102" s="12">
        <v>35.4</v>
      </c>
      <c r="J102" s="12">
        <f>COUNTIF('Raw Data'!$G$2:$G$100001,'Draft Recap'!D102)</f>
        <v>3</v>
      </c>
      <c r="K102" s="12">
        <v>0</v>
      </c>
      <c r="L102" s="9">
        <f t="shared" si="14"/>
        <v>200.6</v>
      </c>
      <c r="M102" s="9">
        <f t="shared" si="12"/>
        <v>75.599999999999994</v>
      </c>
      <c r="N102" s="12">
        <v>0</v>
      </c>
      <c r="O102" s="9">
        <f t="shared" si="13"/>
        <v>0</v>
      </c>
      <c r="P102" s="18"/>
    </row>
    <row r="103" spans="1:16" x14ac:dyDescent="0.2">
      <c r="A103" s="1">
        <v>8</v>
      </c>
      <c r="B103" s="1">
        <v>4</v>
      </c>
      <c r="C103" s="1">
        <v>102</v>
      </c>
      <c r="D103" s="1" t="s">
        <v>91</v>
      </c>
      <c r="E103" s="1" t="s">
        <v>560</v>
      </c>
      <c r="F103" s="1" t="s">
        <v>4</v>
      </c>
      <c r="G103" t="s">
        <v>255</v>
      </c>
      <c r="H103">
        <v>283</v>
      </c>
      <c r="I103" s="12">
        <v>33.880000000000003</v>
      </c>
      <c r="J103" s="12">
        <f>COUNTIF('Raw Data'!$G$2:$G$100001,'Draft Recap'!D103)</f>
        <v>3</v>
      </c>
      <c r="K103" s="12">
        <v>0</v>
      </c>
      <c r="L103" s="9">
        <f t="shared" si="14"/>
        <v>191.98666666666668</v>
      </c>
      <c r="M103" s="9">
        <f t="shared" si="12"/>
        <v>-91.013333333333321</v>
      </c>
      <c r="N103" s="12">
        <v>0</v>
      </c>
      <c r="O103" s="9">
        <f t="shared" si="13"/>
        <v>0</v>
      </c>
      <c r="P103" s="18"/>
    </row>
    <row r="104" spans="1:16" x14ac:dyDescent="0.2">
      <c r="A104" s="1">
        <v>8</v>
      </c>
      <c r="B104" s="1">
        <v>5</v>
      </c>
      <c r="C104" s="1">
        <v>103</v>
      </c>
      <c r="D104" s="1" t="s">
        <v>211</v>
      </c>
      <c r="E104" s="1" t="s">
        <v>563</v>
      </c>
      <c r="F104" s="1" t="s">
        <v>6</v>
      </c>
      <c r="G104" t="s">
        <v>499</v>
      </c>
      <c r="H104">
        <v>141</v>
      </c>
      <c r="I104" s="12">
        <v>31.3</v>
      </c>
      <c r="J104" s="12">
        <f>COUNTIF('Raw Data'!$G$2:$G$100001,'Draft Recap'!D104)</f>
        <v>3</v>
      </c>
      <c r="K104" s="12">
        <v>0</v>
      </c>
      <c r="L104" s="9">
        <f t="shared" si="14"/>
        <v>177.36666666666667</v>
      </c>
      <c r="M104" s="9">
        <f t="shared" si="12"/>
        <v>36.366666666666674</v>
      </c>
      <c r="N104" s="12">
        <v>0</v>
      </c>
      <c r="O104" s="9">
        <f t="shared" si="13"/>
        <v>0</v>
      </c>
      <c r="P104" s="18"/>
    </row>
    <row r="105" spans="1:16" x14ac:dyDescent="0.2">
      <c r="A105" s="1">
        <v>8</v>
      </c>
      <c r="B105" s="1">
        <v>6</v>
      </c>
      <c r="C105" s="1">
        <v>104</v>
      </c>
      <c r="D105" s="1" t="s">
        <v>313</v>
      </c>
      <c r="E105" s="1" t="s">
        <v>570</v>
      </c>
      <c r="F105" s="1" t="s">
        <v>6</v>
      </c>
      <c r="G105" t="s">
        <v>469</v>
      </c>
      <c r="H105">
        <v>127</v>
      </c>
      <c r="I105" s="12">
        <v>17.600000000000001</v>
      </c>
      <c r="J105" s="12">
        <f>COUNTIF('Raw Data'!$G$2:$G$100001,'Draft Recap'!D105)</f>
        <v>3</v>
      </c>
      <c r="K105" s="12">
        <v>0</v>
      </c>
      <c r="L105" s="9">
        <f t="shared" si="14"/>
        <v>99.733333333333348</v>
      </c>
      <c r="M105" s="9">
        <f t="shared" si="12"/>
        <v>-27.266666666666652</v>
      </c>
      <c r="N105" s="12">
        <v>0</v>
      </c>
      <c r="O105" s="9">
        <f t="shared" si="13"/>
        <v>0</v>
      </c>
      <c r="P105" s="18"/>
    </row>
    <row r="106" spans="1:16" x14ac:dyDescent="0.2">
      <c r="A106" s="1">
        <v>8</v>
      </c>
      <c r="B106" s="1">
        <v>7</v>
      </c>
      <c r="C106" s="1">
        <v>105</v>
      </c>
      <c r="D106" s="1" t="s">
        <v>318</v>
      </c>
      <c r="E106" s="1" t="s">
        <v>557</v>
      </c>
      <c r="F106" s="1" t="s">
        <v>5</v>
      </c>
      <c r="G106" t="s">
        <v>309</v>
      </c>
      <c r="H106">
        <v>155</v>
      </c>
      <c r="I106" s="12">
        <v>32.200000000000003</v>
      </c>
      <c r="J106" s="12">
        <f>COUNTIF('Raw Data'!$G$2:$G$100001,'Draft Recap'!D106)</f>
        <v>3</v>
      </c>
      <c r="K106" s="12">
        <v>0</v>
      </c>
      <c r="L106" s="9">
        <f t="shared" si="14"/>
        <v>182.4666666666667</v>
      </c>
      <c r="M106" s="9">
        <f t="shared" si="12"/>
        <v>27.466666666666697</v>
      </c>
      <c r="N106" s="12">
        <v>0</v>
      </c>
      <c r="O106" s="9">
        <f t="shared" si="13"/>
        <v>0</v>
      </c>
      <c r="P106" s="18"/>
    </row>
    <row r="107" spans="1:16" x14ac:dyDescent="0.2">
      <c r="A107" s="1">
        <v>8</v>
      </c>
      <c r="B107" s="1">
        <v>8</v>
      </c>
      <c r="C107" s="1">
        <v>106</v>
      </c>
      <c r="D107" s="1" t="s">
        <v>312</v>
      </c>
      <c r="E107" s="1" t="s">
        <v>580</v>
      </c>
      <c r="F107" s="1" t="s">
        <v>6</v>
      </c>
      <c r="G107" t="s">
        <v>308</v>
      </c>
      <c r="H107">
        <v>155</v>
      </c>
      <c r="I107" s="12">
        <v>38.799999999999997</v>
      </c>
      <c r="J107" s="12">
        <f>COUNTIF('Raw Data'!$G$2:$G$100001,'Draft Recap'!D107)</f>
        <v>3</v>
      </c>
      <c r="K107" s="12">
        <v>0</v>
      </c>
      <c r="L107" s="9">
        <f t="shared" si="14"/>
        <v>219.86666666666662</v>
      </c>
      <c r="M107" s="9">
        <f t="shared" si="12"/>
        <v>64.866666666666617</v>
      </c>
      <c r="N107" s="12">
        <v>0</v>
      </c>
      <c r="O107" s="9">
        <f t="shared" si="13"/>
        <v>0</v>
      </c>
      <c r="P107" s="18"/>
    </row>
    <row r="108" spans="1:16" x14ac:dyDescent="0.2">
      <c r="A108" s="1">
        <v>8</v>
      </c>
      <c r="B108" s="1">
        <v>9</v>
      </c>
      <c r="C108" s="1">
        <v>107</v>
      </c>
      <c r="D108" s="1" t="s">
        <v>335</v>
      </c>
      <c r="E108" s="1" t="s">
        <v>576</v>
      </c>
      <c r="F108" s="1" t="s">
        <v>5</v>
      </c>
      <c r="G108" t="s">
        <v>545</v>
      </c>
      <c r="H108">
        <v>162</v>
      </c>
      <c r="I108" s="12">
        <v>29.3</v>
      </c>
      <c r="J108" s="12">
        <f>COUNTIF('Raw Data'!$G$2:$G$100001,'Draft Recap'!D108)</f>
        <v>3</v>
      </c>
      <c r="K108" s="12">
        <v>0</v>
      </c>
      <c r="L108" s="9">
        <f t="shared" si="14"/>
        <v>166.03333333333336</v>
      </c>
      <c r="M108" s="9">
        <f t="shared" si="12"/>
        <v>4.0333333333333599</v>
      </c>
      <c r="N108" s="12">
        <v>0</v>
      </c>
      <c r="O108" s="9">
        <f t="shared" si="13"/>
        <v>0</v>
      </c>
      <c r="P108" s="18"/>
    </row>
    <row r="109" spans="1:16" x14ac:dyDescent="0.2">
      <c r="A109" s="1">
        <v>8</v>
      </c>
      <c r="B109" s="1">
        <v>10</v>
      </c>
      <c r="C109" s="1">
        <v>108</v>
      </c>
      <c r="D109" s="1" t="s">
        <v>319</v>
      </c>
      <c r="E109" s="1" t="s">
        <v>577</v>
      </c>
      <c r="F109" s="1" t="s">
        <v>5</v>
      </c>
      <c r="G109" t="s">
        <v>468</v>
      </c>
      <c r="H109">
        <v>125</v>
      </c>
      <c r="I109" s="12">
        <v>13.8</v>
      </c>
      <c r="J109" s="12">
        <f>COUNTIF('Raw Data'!$G$2:$G$100001,'Draft Recap'!D109)</f>
        <v>3</v>
      </c>
      <c r="K109" s="12">
        <v>0</v>
      </c>
      <c r="L109" s="9">
        <f t="shared" si="14"/>
        <v>78.2</v>
      </c>
      <c r="M109" s="9">
        <f t="shared" si="12"/>
        <v>-46.8</v>
      </c>
      <c r="N109" s="12">
        <v>1</v>
      </c>
      <c r="O109" s="9">
        <f t="shared" si="13"/>
        <v>1.75</v>
      </c>
      <c r="P109" s="18"/>
    </row>
    <row r="110" spans="1:16" x14ac:dyDescent="0.2">
      <c r="A110" s="1">
        <v>8</v>
      </c>
      <c r="B110" s="1">
        <v>11</v>
      </c>
      <c r="C110" s="1">
        <v>109</v>
      </c>
      <c r="D110" s="1" t="s">
        <v>193</v>
      </c>
      <c r="E110" s="1" t="s">
        <v>560</v>
      </c>
      <c r="F110" s="1" t="s">
        <v>6</v>
      </c>
      <c r="G110" t="s">
        <v>484</v>
      </c>
      <c r="H110">
        <v>139</v>
      </c>
      <c r="I110" s="12">
        <v>10.1</v>
      </c>
      <c r="J110" s="12">
        <f>COUNTIF('Raw Data'!$G$2:$G$100001,'Draft Recap'!D110)</f>
        <v>3</v>
      </c>
      <c r="K110" s="12">
        <v>0</v>
      </c>
      <c r="L110" s="9">
        <f t="shared" si="14"/>
        <v>57.233333333333334</v>
      </c>
      <c r="M110" s="9">
        <f t="shared" si="12"/>
        <v>-81.766666666666666</v>
      </c>
      <c r="N110" s="12">
        <v>0</v>
      </c>
      <c r="O110" s="9">
        <f t="shared" si="13"/>
        <v>0</v>
      </c>
      <c r="P110" s="18"/>
    </row>
    <row r="111" spans="1:16" x14ac:dyDescent="0.2">
      <c r="A111" s="1">
        <v>8</v>
      </c>
      <c r="B111" s="1">
        <v>12</v>
      </c>
      <c r="C111" s="1">
        <v>110</v>
      </c>
      <c r="D111" s="1" t="s">
        <v>161</v>
      </c>
      <c r="E111" s="1" t="s">
        <v>567</v>
      </c>
      <c r="F111" s="1" t="s">
        <v>6</v>
      </c>
      <c r="G111" t="s">
        <v>463</v>
      </c>
      <c r="H111">
        <v>124</v>
      </c>
      <c r="I111" s="12">
        <v>17.5</v>
      </c>
      <c r="J111" s="12">
        <f>COUNTIF('Raw Data'!$G$2:$G$100001,'Draft Recap'!D111)</f>
        <v>3</v>
      </c>
      <c r="K111" s="12">
        <v>0</v>
      </c>
      <c r="L111" s="9">
        <f t="shared" si="14"/>
        <v>99.166666666666657</v>
      </c>
      <c r="M111" s="9">
        <f t="shared" si="12"/>
        <v>-24.833333333333343</v>
      </c>
      <c r="N111" s="12">
        <v>0</v>
      </c>
      <c r="O111" s="9">
        <f t="shared" si="13"/>
        <v>0</v>
      </c>
      <c r="P111" s="18"/>
    </row>
    <row r="112" spans="1:16" x14ac:dyDescent="0.2">
      <c r="A112" s="1">
        <v>8</v>
      </c>
      <c r="B112" s="1">
        <v>13</v>
      </c>
      <c r="C112" s="1">
        <v>111</v>
      </c>
      <c r="D112" s="1" t="s">
        <v>188</v>
      </c>
      <c r="E112" s="1" t="s">
        <v>555</v>
      </c>
      <c r="F112" s="1" t="s">
        <v>5</v>
      </c>
      <c r="G112" t="s">
        <v>483</v>
      </c>
      <c r="H112">
        <v>124</v>
      </c>
      <c r="I112" s="12">
        <v>0</v>
      </c>
      <c r="J112" s="12">
        <f>COUNTIF('Raw Data'!$G$2:$G$100001,'Draft Recap'!D112)</f>
        <v>3</v>
      </c>
      <c r="K112" s="12">
        <v>0</v>
      </c>
      <c r="L112" s="9">
        <f t="shared" si="14"/>
        <v>0</v>
      </c>
      <c r="M112" s="9">
        <f t="shared" si="12"/>
        <v>-124</v>
      </c>
      <c r="N112" s="12">
        <v>0</v>
      </c>
      <c r="O112" s="9">
        <f t="shared" si="13"/>
        <v>0</v>
      </c>
      <c r="P112" s="18"/>
    </row>
    <row r="113" spans="1:16" x14ac:dyDescent="0.2">
      <c r="A113" s="1">
        <v>8</v>
      </c>
      <c r="B113" s="1">
        <v>14</v>
      </c>
      <c r="C113" s="1">
        <v>112</v>
      </c>
      <c r="D113" s="1" t="s">
        <v>191</v>
      </c>
      <c r="E113" s="1" t="s">
        <v>557</v>
      </c>
      <c r="F113" s="1" t="s">
        <v>6</v>
      </c>
      <c r="G113" t="s">
        <v>478</v>
      </c>
      <c r="H113">
        <v>141</v>
      </c>
      <c r="I113" s="12">
        <v>20.6</v>
      </c>
      <c r="J113" s="12">
        <f>COUNTIF('Raw Data'!$G$2:$G$100001,'Draft Recap'!D113)</f>
        <v>3</v>
      </c>
      <c r="K113" s="12">
        <v>0</v>
      </c>
      <c r="L113" s="9">
        <f t="shared" si="14"/>
        <v>116.73333333333335</v>
      </c>
      <c r="M113" s="9">
        <f t="shared" si="12"/>
        <v>-24.266666666666652</v>
      </c>
      <c r="N113" s="12">
        <v>0</v>
      </c>
      <c r="O113" s="9">
        <f t="shared" si="13"/>
        <v>0</v>
      </c>
      <c r="P113" s="18"/>
    </row>
    <row r="114" spans="1:16" x14ac:dyDescent="0.2">
      <c r="A114" s="1">
        <v>9</v>
      </c>
      <c r="B114" s="1">
        <v>1</v>
      </c>
      <c r="C114" s="1">
        <v>113</v>
      </c>
      <c r="D114" s="1" t="s">
        <v>260</v>
      </c>
      <c r="E114" s="1" t="s">
        <v>577</v>
      </c>
      <c r="F114" s="1" t="s">
        <v>4</v>
      </c>
      <c r="G114" t="s">
        <v>478</v>
      </c>
      <c r="H114">
        <v>296</v>
      </c>
      <c r="I114" s="12">
        <v>43.7</v>
      </c>
      <c r="J114" s="12">
        <f>COUNTIF('Raw Data'!$G$2:$G$100001,'Draft Recap'!D114)</f>
        <v>3</v>
      </c>
      <c r="K114" s="12">
        <v>0</v>
      </c>
      <c r="L114" s="9">
        <f t="shared" si="14"/>
        <v>247.63333333333338</v>
      </c>
      <c r="M114" s="9">
        <f t="shared" si="12"/>
        <v>-48.366666666666617</v>
      </c>
      <c r="N114" s="12">
        <v>0</v>
      </c>
      <c r="O114" s="9">
        <f t="shared" si="13"/>
        <v>0</v>
      </c>
      <c r="P114" s="18"/>
    </row>
    <row r="115" spans="1:16" x14ac:dyDescent="0.2">
      <c r="A115" s="1">
        <v>9</v>
      </c>
      <c r="B115" s="1">
        <v>2</v>
      </c>
      <c r="C115" s="1">
        <v>114</v>
      </c>
      <c r="D115" s="1" t="s">
        <v>368</v>
      </c>
      <c r="E115" s="1" t="s">
        <v>552</v>
      </c>
      <c r="F115" s="1" t="s">
        <v>12</v>
      </c>
      <c r="G115" t="s">
        <v>483</v>
      </c>
      <c r="H115">
        <v>106</v>
      </c>
      <c r="I115" s="12">
        <v>17</v>
      </c>
      <c r="J115" s="12">
        <f>COUNTIF('Raw Data'!$G$2:$G$100001,'Draft Recap'!D115)</f>
        <v>3</v>
      </c>
      <c r="K115" s="12">
        <v>0</v>
      </c>
      <c r="L115" s="9">
        <f t="shared" si="14"/>
        <v>96.333333333333343</v>
      </c>
      <c r="M115" s="9">
        <f t="shared" si="12"/>
        <v>-9.6666666666666572</v>
      </c>
      <c r="N115" s="12">
        <v>0</v>
      </c>
      <c r="O115" s="9">
        <f t="shared" si="13"/>
        <v>0</v>
      </c>
      <c r="P115" s="18"/>
    </row>
    <row r="116" spans="1:16" x14ac:dyDescent="0.2">
      <c r="A116" s="1">
        <v>9</v>
      </c>
      <c r="B116" s="1">
        <v>3</v>
      </c>
      <c r="C116" s="1">
        <v>115</v>
      </c>
      <c r="D116" s="1" t="s">
        <v>224</v>
      </c>
      <c r="E116" s="1" t="s">
        <v>580</v>
      </c>
      <c r="F116" s="1" t="s">
        <v>6</v>
      </c>
      <c r="G116" t="s">
        <v>463</v>
      </c>
      <c r="H116">
        <v>141</v>
      </c>
      <c r="I116" s="12">
        <v>4.4000000000000004</v>
      </c>
      <c r="J116" s="12">
        <f>COUNTIF('Raw Data'!$G$2:$G$100001,'Draft Recap'!D116)</f>
        <v>3</v>
      </c>
      <c r="K116" s="12">
        <v>0</v>
      </c>
      <c r="L116" s="9">
        <f t="shared" si="14"/>
        <v>24.933333333333337</v>
      </c>
      <c r="M116" s="9">
        <f t="shared" si="12"/>
        <v>-116.06666666666666</v>
      </c>
      <c r="N116" s="12">
        <v>1</v>
      </c>
      <c r="O116" s="9">
        <f t="shared" si="13"/>
        <v>1.5</v>
      </c>
      <c r="P116" s="18"/>
    </row>
    <row r="117" spans="1:16" x14ac:dyDescent="0.2">
      <c r="A117" s="1">
        <v>9</v>
      </c>
      <c r="B117" s="1">
        <v>4</v>
      </c>
      <c r="C117" s="1">
        <v>116</v>
      </c>
      <c r="D117" s="1" t="s">
        <v>321</v>
      </c>
      <c r="E117" s="1" t="s">
        <v>575</v>
      </c>
      <c r="F117" s="1" t="s">
        <v>5</v>
      </c>
      <c r="G117" t="s">
        <v>484</v>
      </c>
      <c r="H117">
        <v>141</v>
      </c>
      <c r="I117" s="12">
        <v>22.2</v>
      </c>
      <c r="J117" s="12">
        <f>COUNTIF('Raw Data'!$G$2:$G$100001,'Draft Recap'!D117)</f>
        <v>3</v>
      </c>
      <c r="K117" s="12">
        <v>0</v>
      </c>
      <c r="L117" s="9">
        <f t="shared" si="14"/>
        <v>125.8</v>
      </c>
      <c r="M117" s="9">
        <f t="shared" si="12"/>
        <v>-15.200000000000003</v>
      </c>
      <c r="N117" s="12">
        <v>0</v>
      </c>
      <c r="O117" s="9">
        <f t="shared" si="13"/>
        <v>0</v>
      </c>
      <c r="P117" s="18"/>
    </row>
    <row r="118" spans="1:16" x14ac:dyDescent="0.2">
      <c r="A118" s="1">
        <v>9</v>
      </c>
      <c r="B118" s="1">
        <v>5</v>
      </c>
      <c r="C118" s="1">
        <v>117</v>
      </c>
      <c r="D118" s="1" t="s">
        <v>471</v>
      </c>
      <c r="E118" s="1" t="s">
        <v>556</v>
      </c>
      <c r="F118" s="1" t="s">
        <v>6</v>
      </c>
      <c r="G118" t="s">
        <v>468</v>
      </c>
      <c r="H118">
        <v>134</v>
      </c>
      <c r="I118" s="12">
        <v>0</v>
      </c>
      <c r="J118" s="12">
        <f>COUNTIF('Raw Data'!$G$2:$G$100001,'Draft Recap'!D118)</f>
        <v>3</v>
      </c>
      <c r="K118" s="12">
        <v>0</v>
      </c>
      <c r="L118" s="9">
        <f t="shared" si="14"/>
        <v>0</v>
      </c>
      <c r="M118" s="9">
        <f t="shared" si="12"/>
        <v>-134</v>
      </c>
      <c r="N118" s="12">
        <v>2</v>
      </c>
      <c r="O118" s="9">
        <f t="shared" si="13"/>
        <v>3</v>
      </c>
      <c r="P118" s="18"/>
    </row>
    <row r="119" spans="1:16" x14ac:dyDescent="0.2">
      <c r="A119" s="1">
        <v>9</v>
      </c>
      <c r="B119" s="1">
        <v>6</v>
      </c>
      <c r="C119" s="1">
        <v>118</v>
      </c>
      <c r="D119" s="1" t="s">
        <v>235</v>
      </c>
      <c r="E119" s="1" t="s">
        <v>553</v>
      </c>
      <c r="F119" s="1" t="s">
        <v>6</v>
      </c>
      <c r="G119" t="s">
        <v>545</v>
      </c>
      <c r="H119">
        <v>136</v>
      </c>
      <c r="I119" s="12">
        <v>13.4</v>
      </c>
      <c r="J119" s="12">
        <f>COUNTIF('Raw Data'!$G$2:$G$100001,'Draft Recap'!D119)</f>
        <v>3</v>
      </c>
      <c r="K119" s="12">
        <v>0</v>
      </c>
      <c r="L119" s="9">
        <f t="shared" si="14"/>
        <v>75.933333333333337</v>
      </c>
      <c r="M119" s="9">
        <f t="shared" si="12"/>
        <v>-60.066666666666663</v>
      </c>
      <c r="N119" s="12">
        <v>0</v>
      </c>
      <c r="O119" s="9">
        <f t="shared" si="13"/>
        <v>0</v>
      </c>
      <c r="P119" s="18"/>
    </row>
    <row r="120" spans="1:16" x14ac:dyDescent="0.2">
      <c r="A120" s="1">
        <v>9</v>
      </c>
      <c r="B120" s="1">
        <v>7</v>
      </c>
      <c r="C120" s="1">
        <v>119</v>
      </c>
      <c r="D120" s="1" t="s">
        <v>162</v>
      </c>
      <c r="E120" s="1" t="s">
        <v>573</v>
      </c>
      <c r="F120" s="1" t="s">
        <v>9</v>
      </c>
      <c r="G120" t="s">
        <v>308</v>
      </c>
      <c r="H120">
        <v>125</v>
      </c>
      <c r="I120" s="12">
        <v>31.9</v>
      </c>
      <c r="J120" s="12">
        <f>COUNTIF('Raw Data'!$G$2:$G$100001,'Draft Recap'!D120)</f>
        <v>3</v>
      </c>
      <c r="K120" s="12">
        <v>0</v>
      </c>
      <c r="L120" s="9">
        <f t="shared" si="14"/>
        <v>180.76666666666668</v>
      </c>
      <c r="M120" s="9">
        <f t="shared" si="12"/>
        <v>55.76666666666668</v>
      </c>
      <c r="N120" s="12">
        <v>0</v>
      </c>
      <c r="O120" s="9">
        <f t="shared" si="13"/>
        <v>0</v>
      </c>
      <c r="P120" s="18"/>
    </row>
    <row r="121" spans="1:16" x14ac:dyDescent="0.2">
      <c r="A121" s="1">
        <v>9</v>
      </c>
      <c r="B121" s="1">
        <v>8</v>
      </c>
      <c r="C121" s="1">
        <v>120</v>
      </c>
      <c r="D121" s="1" t="s">
        <v>306</v>
      </c>
      <c r="E121" s="1" t="s">
        <v>555</v>
      </c>
      <c r="F121" s="1" t="s">
        <v>13</v>
      </c>
      <c r="G121" t="s">
        <v>309</v>
      </c>
      <c r="H121">
        <v>139</v>
      </c>
      <c r="I121" s="12">
        <v>23</v>
      </c>
      <c r="J121" s="12">
        <f>COUNTIF('Raw Data'!$G$2:$G$100001,'Draft Recap'!D121)</f>
        <v>3</v>
      </c>
      <c r="K121" s="12">
        <v>0</v>
      </c>
      <c r="L121" s="9">
        <f t="shared" si="14"/>
        <v>130.33333333333334</v>
      </c>
      <c r="M121" s="9">
        <f t="shared" si="12"/>
        <v>-8.6666666666666572</v>
      </c>
      <c r="N121" s="12">
        <v>0</v>
      </c>
      <c r="O121" s="9">
        <f t="shared" si="13"/>
        <v>0</v>
      </c>
      <c r="P121" s="18"/>
    </row>
    <row r="122" spans="1:16" x14ac:dyDescent="0.2">
      <c r="A122" s="1">
        <v>9</v>
      </c>
      <c r="B122" s="1">
        <v>9</v>
      </c>
      <c r="C122" s="1">
        <v>121</v>
      </c>
      <c r="D122" s="1" t="s">
        <v>53</v>
      </c>
      <c r="E122" s="1" t="s">
        <v>554</v>
      </c>
      <c r="F122" s="1" t="s">
        <v>6</v>
      </c>
      <c r="G122" t="s">
        <v>469</v>
      </c>
      <c r="H122">
        <v>97</v>
      </c>
      <c r="I122" s="12">
        <v>22.5</v>
      </c>
      <c r="J122" s="12">
        <f>COUNTIF('Raw Data'!$G$2:$G$100001,'Draft Recap'!D122)</f>
        <v>0</v>
      </c>
      <c r="K122" s="12">
        <v>0</v>
      </c>
      <c r="L122" s="9">
        <f t="shared" si="14"/>
        <v>127.5</v>
      </c>
      <c r="M122" s="9">
        <f t="shared" si="12"/>
        <v>30.5</v>
      </c>
      <c r="N122" s="12">
        <v>0</v>
      </c>
      <c r="O122" s="9">
        <f t="shared" si="13"/>
        <v>0</v>
      </c>
      <c r="P122" s="18"/>
    </row>
    <row r="123" spans="1:16" x14ac:dyDescent="0.2">
      <c r="A123" s="1">
        <v>9</v>
      </c>
      <c r="B123" s="1">
        <v>10</v>
      </c>
      <c r="C123" s="1">
        <v>122</v>
      </c>
      <c r="D123" s="1" t="s">
        <v>169</v>
      </c>
      <c r="E123" s="1" t="s">
        <v>555</v>
      </c>
      <c r="F123" s="1" t="s">
        <v>12</v>
      </c>
      <c r="G123" t="s">
        <v>499</v>
      </c>
      <c r="H123">
        <v>109</v>
      </c>
      <c r="I123" s="12">
        <v>28</v>
      </c>
      <c r="J123" s="12">
        <f>COUNTIF('Raw Data'!$G$2:$G$100001,'Draft Recap'!D123)</f>
        <v>3</v>
      </c>
      <c r="K123" s="12">
        <v>0</v>
      </c>
      <c r="L123" s="9">
        <f t="shared" si="14"/>
        <v>158.66666666666669</v>
      </c>
      <c r="M123" s="9">
        <f t="shared" si="12"/>
        <v>49.666666666666686</v>
      </c>
      <c r="N123" s="12">
        <v>0</v>
      </c>
      <c r="O123" s="9">
        <f t="shared" si="13"/>
        <v>0</v>
      </c>
      <c r="P123" s="18"/>
    </row>
    <row r="124" spans="1:16" x14ac:dyDescent="0.2">
      <c r="A124" s="1">
        <v>9</v>
      </c>
      <c r="B124" s="1">
        <v>11</v>
      </c>
      <c r="C124" s="1">
        <v>123</v>
      </c>
      <c r="D124" s="1" t="s">
        <v>144</v>
      </c>
      <c r="E124" s="1" t="s">
        <v>577</v>
      </c>
      <c r="F124" s="1" t="s">
        <v>12</v>
      </c>
      <c r="G124" t="s">
        <v>255</v>
      </c>
      <c r="H124">
        <v>105</v>
      </c>
      <c r="I124" s="12">
        <v>20</v>
      </c>
      <c r="J124" s="12">
        <f>COUNTIF('Raw Data'!$G$2:$G$100001,'Draft Recap'!D124)</f>
        <v>3</v>
      </c>
      <c r="K124" s="12">
        <v>0</v>
      </c>
      <c r="L124" s="9">
        <f t="shared" si="14"/>
        <v>113.33333333333334</v>
      </c>
      <c r="M124" s="9">
        <f t="shared" si="12"/>
        <v>8.3333333333333428</v>
      </c>
      <c r="N124" s="12">
        <v>0</v>
      </c>
      <c r="O124" s="9">
        <f t="shared" si="13"/>
        <v>0</v>
      </c>
      <c r="P124" s="18"/>
    </row>
    <row r="125" spans="1:16" x14ac:dyDescent="0.2">
      <c r="A125" s="1">
        <v>9</v>
      </c>
      <c r="B125" s="1">
        <v>12</v>
      </c>
      <c r="C125" s="1">
        <v>124</v>
      </c>
      <c r="D125" s="1" t="s">
        <v>231</v>
      </c>
      <c r="E125" s="1" t="s">
        <v>557</v>
      </c>
      <c r="F125" s="1" t="s">
        <v>5</v>
      </c>
      <c r="G125" t="s">
        <v>494</v>
      </c>
      <c r="H125">
        <v>146</v>
      </c>
      <c r="I125" s="12">
        <v>11.9</v>
      </c>
      <c r="J125" s="12">
        <f>COUNTIF('Raw Data'!$G$2:$G$100001,'Draft Recap'!D125)</f>
        <v>3</v>
      </c>
      <c r="K125" s="12">
        <v>0</v>
      </c>
      <c r="L125" s="9">
        <f t="shared" si="14"/>
        <v>67.433333333333337</v>
      </c>
      <c r="M125" s="9">
        <f t="shared" si="12"/>
        <v>-78.566666666666663</v>
      </c>
      <c r="N125" s="12">
        <v>2</v>
      </c>
      <c r="O125" s="9">
        <f t="shared" si="13"/>
        <v>3</v>
      </c>
      <c r="P125" s="18"/>
    </row>
    <row r="126" spans="1:16" x14ac:dyDescent="0.2">
      <c r="A126" s="1">
        <v>9</v>
      </c>
      <c r="B126" s="1">
        <v>13</v>
      </c>
      <c r="C126" s="1">
        <v>125</v>
      </c>
      <c r="D126" s="1" t="s">
        <v>232</v>
      </c>
      <c r="E126" s="1" t="s">
        <v>564</v>
      </c>
      <c r="F126" s="1" t="s">
        <v>13</v>
      </c>
      <c r="G126" t="s">
        <v>256</v>
      </c>
      <c r="H126">
        <v>140</v>
      </c>
      <c r="I126" s="12">
        <v>20</v>
      </c>
      <c r="J126" s="12">
        <f>COUNTIF('Raw Data'!$G$2:$G$100001,'Draft Recap'!D126)</f>
        <v>3</v>
      </c>
      <c r="K126" s="12">
        <v>0</v>
      </c>
      <c r="L126" s="9">
        <f t="shared" si="14"/>
        <v>113.33333333333334</v>
      </c>
      <c r="M126" s="9">
        <f t="shared" si="12"/>
        <v>-26.666666666666657</v>
      </c>
      <c r="N126" s="12">
        <v>0</v>
      </c>
      <c r="O126" s="9">
        <f t="shared" si="13"/>
        <v>0</v>
      </c>
      <c r="P126" s="18"/>
    </row>
    <row r="127" spans="1:16" x14ac:dyDescent="0.2">
      <c r="A127" s="1">
        <v>9</v>
      </c>
      <c r="B127" s="1">
        <v>14</v>
      </c>
      <c r="C127" s="1">
        <v>126</v>
      </c>
      <c r="D127" s="1" t="s">
        <v>185</v>
      </c>
      <c r="E127" s="1" t="s">
        <v>558</v>
      </c>
      <c r="F127" s="1" t="s">
        <v>9</v>
      </c>
      <c r="G127" t="s">
        <v>343</v>
      </c>
      <c r="H127">
        <v>131</v>
      </c>
      <c r="I127" s="12">
        <v>27.7</v>
      </c>
      <c r="J127" s="12">
        <f>COUNTIF('Raw Data'!$G$2:$G$100001,'Draft Recap'!D127)</f>
        <v>3</v>
      </c>
      <c r="K127" s="12">
        <v>0</v>
      </c>
      <c r="L127" s="9">
        <f t="shared" ref="L127:L158" si="15">IF(I127=0,0,I127+I127/($Q$1-K127)*(18-$Q$1-1+K127))</f>
        <v>156.96666666666664</v>
      </c>
      <c r="M127" s="9">
        <f t="shared" si="12"/>
        <v>25.96666666666664</v>
      </c>
      <c r="N127" s="12">
        <v>0</v>
      </c>
      <c r="O127" s="9">
        <f t="shared" si="13"/>
        <v>0</v>
      </c>
      <c r="P127" s="18"/>
    </row>
    <row r="128" spans="1:16" x14ac:dyDescent="0.2">
      <c r="A128" s="1">
        <v>10</v>
      </c>
      <c r="B128" s="1">
        <v>1</v>
      </c>
      <c r="C128" s="1">
        <v>127</v>
      </c>
      <c r="D128" s="1" t="s">
        <v>492</v>
      </c>
      <c r="E128" s="1" t="s">
        <v>559</v>
      </c>
      <c r="F128" s="1" t="s">
        <v>6</v>
      </c>
      <c r="G128" t="s">
        <v>343</v>
      </c>
      <c r="H128">
        <v>129</v>
      </c>
      <c r="I128" s="12">
        <v>6.8</v>
      </c>
      <c r="J128" s="12">
        <f>COUNTIF('Raw Data'!$G$2:$G$100001,'Draft Recap'!D128)</f>
        <v>3</v>
      </c>
      <c r="K128" s="12">
        <v>0</v>
      </c>
      <c r="L128" s="9">
        <f t="shared" si="15"/>
        <v>38.533333333333331</v>
      </c>
      <c r="M128" s="9">
        <f t="shared" si="12"/>
        <v>-90.466666666666669</v>
      </c>
      <c r="N128" s="12">
        <v>0</v>
      </c>
      <c r="O128" s="9">
        <f t="shared" si="13"/>
        <v>0</v>
      </c>
      <c r="P128" s="18"/>
    </row>
    <row r="129" spans="1:16" x14ac:dyDescent="0.2">
      <c r="A129" s="1">
        <v>10</v>
      </c>
      <c r="B129" s="1">
        <v>2</v>
      </c>
      <c r="C129" s="1">
        <v>128</v>
      </c>
      <c r="D129" s="1" t="s">
        <v>209</v>
      </c>
      <c r="E129" s="1" t="s">
        <v>565</v>
      </c>
      <c r="F129" s="1" t="s">
        <v>6</v>
      </c>
      <c r="G129" t="s">
        <v>256</v>
      </c>
      <c r="H129">
        <v>145</v>
      </c>
      <c r="I129" s="12">
        <v>17.3</v>
      </c>
      <c r="J129" s="12">
        <f>COUNTIF('Raw Data'!$G$2:$G$100001,'Draft Recap'!D129)</f>
        <v>3</v>
      </c>
      <c r="K129" s="12">
        <v>0</v>
      </c>
      <c r="L129" s="9">
        <f t="shared" si="15"/>
        <v>98.033333333333331</v>
      </c>
      <c r="M129" s="9">
        <f t="shared" si="12"/>
        <v>-46.966666666666669</v>
      </c>
      <c r="N129" s="12">
        <v>0</v>
      </c>
      <c r="O129" s="9">
        <f t="shared" si="13"/>
        <v>0</v>
      </c>
      <c r="P129" s="18"/>
    </row>
    <row r="130" spans="1:16" x14ac:dyDescent="0.2">
      <c r="A130" s="1">
        <v>10</v>
      </c>
      <c r="B130" s="1">
        <v>3</v>
      </c>
      <c r="C130" s="1">
        <v>129</v>
      </c>
      <c r="D130" s="1" t="s">
        <v>498</v>
      </c>
      <c r="E130" s="1" t="s">
        <v>572</v>
      </c>
      <c r="F130" s="1" t="s">
        <v>6</v>
      </c>
      <c r="G130" t="s">
        <v>494</v>
      </c>
      <c r="H130">
        <v>127</v>
      </c>
      <c r="I130" s="12">
        <v>12.9</v>
      </c>
      <c r="J130" s="12">
        <f>COUNTIF('Raw Data'!$G$2:$G$100001,'Draft Recap'!D130)</f>
        <v>3</v>
      </c>
      <c r="K130" s="12">
        <v>0</v>
      </c>
      <c r="L130" s="9">
        <f t="shared" si="15"/>
        <v>73.099999999999994</v>
      </c>
      <c r="M130" s="9">
        <f t="shared" ref="M130:M193" si="16">L130-H130</f>
        <v>-53.900000000000006</v>
      </c>
      <c r="N130" s="12">
        <v>0</v>
      </c>
      <c r="O130" s="9">
        <f t="shared" ref="O130:O193" si="17">N130*(MAX($A$2:$A$211)-A130+1)/4</f>
        <v>0</v>
      </c>
      <c r="P130" s="18"/>
    </row>
    <row r="131" spans="1:16" x14ac:dyDescent="0.2">
      <c r="A131" s="1">
        <v>10</v>
      </c>
      <c r="B131" s="1">
        <v>4</v>
      </c>
      <c r="C131" s="1">
        <v>130</v>
      </c>
      <c r="D131" s="1" t="s">
        <v>456</v>
      </c>
      <c r="E131" s="1" t="s">
        <v>552</v>
      </c>
      <c r="F131" s="1" t="s">
        <v>13</v>
      </c>
      <c r="G131" t="s">
        <v>255</v>
      </c>
      <c r="H131">
        <v>134</v>
      </c>
      <c r="I131" s="12">
        <v>20</v>
      </c>
      <c r="J131" s="12">
        <f>COUNTIF('Raw Data'!$G$2:$G$100001,'Draft Recap'!D131)</f>
        <v>2</v>
      </c>
      <c r="K131" s="12">
        <v>0</v>
      </c>
      <c r="L131" s="9">
        <f t="shared" si="15"/>
        <v>113.33333333333334</v>
      </c>
      <c r="M131" s="9">
        <f t="shared" si="16"/>
        <v>-20.666666666666657</v>
      </c>
      <c r="N131" s="12">
        <v>0</v>
      </c>
      <c r="O131" s="9">
        <f t="shared" si="17"/>
        <v>0</v>
      </c>
      <c r="P131" s="18"/>
    </row>
    <row r="132" spans="1:16" x14ac:dyDescent="0.2">
      <c r="A132" s="1">
        <v>10</v>
      </c>
      <c r="B132" s="1">
        <v>5</v>
      </c>
      <c r="C132" s="1">
        <v>131</v>
      </c>
      <c r="D132" s="1" t="s">
        <v>36</v>
      </c>
      <c r="E132" s="1" t="s">
        <v>569</v>
      </c>
      <c r="F132" s="1" t="s">
        <v>5</v>
      </c>
      <c r="G132" t="s">
        <v>499</v>
      </c>
      <c r="H132">
        <v>98</v>
      </c>
      <c r="I132" s="12">
        <v>9.3000000000000007</v>
      </c>
      <c r="J132" s="12">
        <f>COUNTIF('Raw Data'!$G$2:$G$100001,'Draft Recap'!D132)</f>
        <v>3</v>
      </c>
      <c r="K132" s="12">
        <v>0</v>
      </c>
      <c r="L132" s="9">
        <f t="shared" si="15"/>
        <v>52.7</v>
      </c>
      <c r="M132" s="9">
        <f t="shared" si="16"/>
        <v>-45.3</v>
      </c>
      <c r="N132" s="12">
        <v>0</v>
      </c>
      <c r="O132" s="9">
        <f t="shared" si="17"/>
        <v>0</v>
      </c>
      <c r="P132" s="18"/>
    </row>
    <row r="133" spans="1:16" x14ac:dyDescent="0.2">
      <c r="A133" s="1">
        <v>10</v>
      </c>
      <c r="B133" s="1">
        <v>6</v>
      </c>
      <c r="C133" s="1">
        <v>132</v>
      </c>
      <c r="D133" s="1" t="s">
        <v>476</v>
      </c>
      <c r="E133" s="1" t="s">
        <v>577</v>
      </c>
      <c r="F133" s="1" t="s">
        <v>5</v>
      </c>
      <c r="G133" t="s">
        <v>469</v>
      </c>
      <c r="H133">
        <v>66</v>
      </c>
      <c r="I133" s="12">
        <v>13.3</v>
      </c>
      <c r="J133" s="12">
        <f>COUNTIF('Raw Data'!$G$2:$G$100001,'Draft Recap'!D133)</f>
        <v>2</v>
      </c>
      <c r="K133" s="12">
        <v>0</v>
      </c>
      <c r="L133" s="9">
        <f t="shared" si="15"/>
        <v>75.366666666666674</v>
      </c>
      <c r="M133" s="9">
        <f t="shared" si="16"/>
        <v>9.3666666666666742</v>
      </c>
      <c r="N133" s="12">
        <v>1</v>
      </c>
      <c r="O133" s="9">
        <f t="shared" si="17"/>
        <v>1.25</v>
      </c>
      <c r="P133" s="18"/>
    </row>
    <row r="134" spans="1:16" x14ac:dyDescent="0.2">
      <c r="A134" s="1">
        <v>10</v>
      </c>
      <c r="B134" s="1">
        <v>7</v>
      </c>
      <c r="C134" s="1">
        <v>133</v>
      </c>
      <c r="D134" s="1" t="s">
        <v>320</v>
      </c>
      <c r="E134" s="1" t="s">
        <v>571</v>
      </c>
      <c r="F134" s="1" t="s">
        <v>6</v>
      </c>
      <c r="G134" t="s">
        <v>309</v>
      </c>
      <c r="H134">
        <v>83</v>
      </c>
      <c r="I134" s="12">
        <v>1.6</v>
      </c>
      <c r="J134" s="12">
        <f>COUNTIF('Raw Data'!$G$2:$G$100001,'Draft Recap'!D134)</f>
        <v>3</v>
      </c>
      <c r="K134" s="12">
        <v>0</v>
      </c>
      <c r="L134" s="9">
        <f t="shared" si="15"/>
        <v>9.0666666666666664</v>
      </c>
      <c r="M134" s="9">
        <f t="shared" si="16"/>
        <v>-73.933333333333337</v>
      </c>
      <c r="N134" s="12">
        <v>0</v>
      </c>
      <c r="O134" s="9">
        <f t="shared" si="17"/>
        <v>0</v>
      </c>
      <c r="P134" s="18"/>
    </row>
    <row r="135" spans="1:16" x14ac:dyDescent="0.2">
      <c r="A135" s="1">
        <v>10</v>
      </c>
      <c r="B135" s="1">
        <v>8</v>
      </c>
      <c r="C135" s="1">
        <v>134</v>
      </c>
      <c r="D135" s="1" t="s">
        <v>189</v>
      </c>
      <c r="E135" s="1" t="s">
        <v>553</v>
      </c>
      <c r="F135" s="1" t="s">
        <v>9</v>
      </c>
      <c r="G135" t="s">
        <v>308</v>
      </c>
      <c r="H135">
        <v>126</v>
      </c>
      <c r="I135" s="12">
        <v>37.299999999999997</v>
      </c>
      <c r="J135" s="12">
        <f>COUNTIF('Raw Data'!$G$2:$G$100001,'Draft Recap'!D135)</f>
        <v>3</v>
      </c>
      <c r="K135" s="12">
        <v>0</v>
      </c>
      <c r="L135" s="9">
        <f t="shared" si="15"/>
        <v>211.36666666666662</v>
      </c>
      <c r="M135" s="9">
        <f t="shared" si="16"/>
        <v>85.366666666666617</v>
      </c>
      <c r="N135" s="12">
        <v>0</v>
      </c>
      <c r="O135" s="9">
        <f t="shared" si="17"/>
        <v>0</v>
      </c>
      <c r="P135" s="18"/>
    </row>
    <row r="136" spans="1:16" x14ac:dyDescent="0.2">
      <c r="A136" s="1">
        <v>10</v>
      </c>
      <c r="B136" s="1">
        <v>9</v>
      </c>
      <c r="C136" s="1">
        <v>135</v>
      </c>
      <c r="D136" s="1" t="s">
        <v>205</v>
      </c>
      <c r="E136" s="1" t="s">
        <v>579</v>
      </c>
      <c r="F136" s="1" t="s">
        <v>5</v>
      </c>
      <c r="G136" t="s">
        <v>545</v>
      </c>
      <c r="H136">
        <v>129</v>
      </c>
      <c r="I136" s="12">
        <v>11.9</v>
      </c>
      <c r="J136" s="12">
        <f>COUNTIF('Raw Data'!$G$2:$G$100001,'Draft Recap'!D136)</f>
        <v>3</v>
      </c>
      <c r="K136" s="12">
        <v>0</v>
      </c>
      <c r="L136" s="9">
        <f t="shared" si="15"/>
        <v>67.433333333333337</v>
      </c>
      <c r="M136" s="9">
        <f t="shared" si="16"/>
        <v>-61.566666666666663</v>
      </c>
      <c r="N136" s="12">
        <v>0</v>
      </c>
      <c r="O136" s="9">
        <f t="shared" si="17"/>
        <v>0</v>
      </c>
      <c r="P136" s="18"/>
    </row>
    <row r="137" spans="1:16" x14ac:dyDescent="0.2">
      <c r="A137" s="1">
        <v>10</v>
      </c>
      <c r="B137" s="1">
        <v>10</v>
      </c>
      <c r="C137" s="1">
        <v>136</v>
      </c>
      <c r="D137" s="1" t="s">
        <v>329</v>
      </c>
      <c r="E137" s="1" t="s">
        <v>571</v>
      </c>
      <c r="F137" s="1" t="s">
        <v>13</v>
      </c>
      <c r="G137" t="s">
        <v>468</v>
      </c>
      <c r="H137">
        <v>129</v>
      </c>
      <c r="I137" s="12">
        <v>23</v>
      </c>
      <c r="J137" s="12">
        <f>COUNTIF('Raw Data'!$G$2:$G$100001,'Draft Recap'!D137)</f>
        <v>3</v>
      </c>
      <c r="K137" s="12">
        <v>0</v>
      </c>
      <c r="L137" s="9">
        <f t="shared" si="15"/>
        <v>130.33333333333334</v>
      </c>
      <c r="M137" s="9">
        <f t="shared" si="16"/>
        <v>1.3333333333333428</v>
      </c>
      <c r="N137" s="12">
        <v>0</v>
      </c>
      <c r="O137" s="9">
        <f t="shared" si="17"/>
        <v>0</v>
      </c>
      <c r="P137" s="18"/>
    </row>
    <row r="138" spans="1:16" x14ac:dyDescent="0.2">
      <c r="A138" s="1">
        <v>10</v>
      </c>
      <c r="B138" s="1">
        <v>11</v>
      </c>
      <c r="C138" s="1">
        <v>137</v>
      </c>
      <c r="D138" s="1" t="s">
        <v>129</v>
      </c>
      <c r="E138" s="1" t="s">
        <v>549</v>
      </c>
      <c r="F138" s="1" t="s">
        <v>4</v>
      </c>
      <c r="G138" t="s">
        <v>484</v>
      </c>
      <c r="H138">
        <v>268</v>
      </c>
      <c r="I138" s="12">
        <v>65.58</v>
      </c>
      <c r="J138" s="12">
        <f>COUNTIF('Raw Data'!$G$2:$G$100001,'Draft Recap'!D138)</f>
        <v>3</v>
      </c>
      <c r="K138" s="12">
        <v>0</v>
      </c>
      <c r="L138" s="9">
        <f t="shared" si="15"/>
        <v>371.61999999999995</v>
      </c>
      <c r="M138" s="9">
        <f t="shared" si="16"/>
        <v>103.61999999999995</v>
      </c>
      <c r="N138" s="12">
        <v>0</v>
      </c>
      <c r="O138" s="9">
        <f t="shared" si="17"/>
        <v>0</v>
      </c>
      <c r="P138" s="18"/>
    </row>
    <row r="139" spans="1:16" x14ac:dyDescent="0.2">
      <c r="A139" s="1">
        <v>10</v>
      </c>
      <c r="B139" s="1">
        <v>12</v>
      </c>
      <c r="C139" s="1">
        <v>138</v>
      </c>
      <c r="D139" s="1" t="s">
        <v>546</v>
      </c>
      <c r="E139" s="1" t="s">
        <v>569</v>
      </c>
      <c r="F139" s="1" t="s">
        <v>6</v>
      </c>
      <c r="G139" t="s">
        <v>463</v>
      </c>
      <c r="H139">
        <v>82</v>
      </c>
      <c r="I139" s="12">
        <v>0</v>
      </c>
      <c r="J139" s="12">
        <f>COUNTIF('Raw Data'!$G$2:$G$100001,'Draft Recap'!D139)</f>
        <v>0</v>
      </c>
      <c r="K139" s="12">
        <v>0</v>
      </c>
      <c r="L139" s="9">
        <f t="shared" si="15"/>
        <v>0</v>
      </c>
      <c r="M139" s="9">
        <f t="shared" si="16"/>
        <v>-82</v>
      </c>
      <c r="N139" s="12">
        <v>0</v>
      </c>
      <c r="O139" s="9">
        <f t="shared" si="17"/>
        <v>0</v>
      </c>
      <c r="P139" s="18"/>
    </row>
    <row r="140" spans="1:16" x14ac:dyDescent="0.2">
      <c r="A140" s="1">
        <v>10</v>
      </c>
      <c r="B140" s="1">
        <v>13</v>
      </c>
      <c r="C140" s="1">
        <v>139</v>
      </c>
      <c r="D140" s="1" t="s">
        <v>547</v>
      </c>
      <c r="E140" s="1" t="s">
        <v>557</v>
      </c>
      <c r="F140" s="1" t="s">
        <v>13</v>
      </c>
      <c r="G140" t="s">
        <v>483</v>
      </c>
      <c r="H140">
        <v>130</v>
      </c>
      <c r="I140" s="12">
        <v>33</v>
      </c>
      <c r="J140" s="12">
        <f>COUNTIF('Raw Data'!$G$2:$G$100001,'Draft Recap'!D140)</f>
        <v>0</v>
      </c>
      <c r="K140" s="12">
        <v>0</v>
      </c>
      <c r="L140" s="9">
        <f t="shared" si="15"/>
        <v>187</v>
      </c>
      <c r="M140" s="9">
        <f t="shared" si="16"/>
        <v>57</v>
      </c>
      <c r="N140" s="12">
        <v>0</v>
      </c>
      <c r="O140" s="9">
        <f t="shared" si="17"/>
        <v>0</v>
      </c>
      <c r="P140" s="18"/>
    </row>
    <row r="141" spans="1:16" x14ac:dyDescent="0.2">
      <c r="A141" s="1">
        <v>10</v>
      </c>
      <c r="B141" s="1">
        <v>14</v>
      </c>
      <c r="C141" s="1">
        <v>140</v>
      </c>
      <c r="D141" s="1" t="s">
        <v>10</v>
      </c>
      <c r="E141" s="1" t="s">
        <v>561</v>
      </c>
      <c r="F141" s="1" t="s">
        <v>9</v>
      </c>
      <c r="G141" t="s">
        <v>478</v>
      </c>
      <c r="H141">
        <v>140</v>
      </c>
      <c r="I141" s="12">
        <v>18.7</v>
      </c>
      <c r="J141" s="12">
        <f>COUNTIF('Raw Data'!$G$2:$G$100001,'Draft Recap'!D141)</f>
        <v>3</v>
      </c>
      <c r="K141" s="12">
        <v>0</v>
      </c>
      <c r="L141" s="9">
        <f t="shared" si="15"/>
        <v>105.96666666666667</v>
      </c>
      <c r="M141" s="9">
        <f t="shared" si="16"/>
        <v>-34.033333333333331</v>
      </c>
      <c r="N141" s="12">
        <v>0</v>
      </c>
      <c r="O141" s="9">
        <f t="shared" si="17"/>
        <v>0</v>
      </c>
      <c r="P141" s="18"/>
    </row>
    <row r="142" spans="1:16" x14ac:dyDescent="0.2">
      <c r="A142" s="1">
        <v>11</v>
      </c>
      <c r="B142" s="1">
        <v>1</v>
      </c>
      <c r="C142" s="1">
        <v>141</v>
      </c>
      <c r="D142" s="1" t="s">
        <v>252</v>
      </c>
      <c r="E142" s="1" t="s">
        <v>554</v>
      </c>
      <c r="F142" s="1" t="s">
        <v>6</v>
      </c>
      <c r="G142" t="s">
        <v>478</v>
      </c>
      <c r="H142">
        <v>123</v>
      </c>
      <c r="I142" s="12">
        <v>25.6</v>
      </c>
      <c r="J142" s="12">
        <f>COUNTIF('Raw Data'!$G$2:$G$100001,'Draft Recap'!D142)</f>
        <v>3</v>
      </c>
      <c r="K142" s="12">
        <v>0</v>
      </c>
      <c r="L142" s="9">
        <f t="shared" si="15"/>
        <v>145.06666666666666</v>
      </c>
      <c r="M142" s="9">
        <f t="shared" si="16"/>
        <v>22.066666666666663</v>
      </c>
      <c r="N142" s="12">
        <v>0</v>
      </c>
      <c r="O142" s="9">
        <f t="shared" si="17"/>
        <v>0</v>
      </c>
      <c r="P142" s="18"/>
    </row>
    <row r="143" spans="1:16" x14ac:dyDescent="0.2">
      <c r="A143" s="1">
        <v>11</v>
      </c>
      <c r="B143" s="1">
        <v>2</v>
      </c>
      <c r="C143" s="1">
        <v>142</v>
      </c>
      <c r="D143" s="1" t="s">
        <v>110</v>
      </c>
      <c r="E143" s="1" t="s">
        <v>567</v>
      </c>
      <c r="F143" s="1" t="s">
        <v>9</v>
      </c>
      <c r="G143" t="s">
        <v>483</v>
      </c>
      <c r="H143">
        <v>122</v>
      </c>
      <c r="I143" s="12">
        <v>10.6</v>
      </c>
      <c r="J143" s="12">
        <f>COUNTIF('Raw Data'!$G$2:$G$100001,'Draft Recap'!D143)</f>
        <v>3</v>
      </c>
      <c r="K143" s="12">
        <v>0</v>
      </c>
      <c r="L143" s="9">
        <f t="shared" si="15"/>
        <v>60.06666666666667</v>
      </c>
      <c r="M143" s="9">
        <f t="shared" si="16"/>
        <v>-61.93333333333333</v>
      </c>
      <c r="N143" s="12">
        <v>0</v>
      </c>
      <c r="O143" s="9">
        <f t="shared" si="17"/>
        <v>0</v>
      </c>
      <c r="P143" s="18"/>
    </row>
    <row r="144" spans="1:16" x14ac:dyDescent="0.2">
      <c r="A144" s="1">
        <v>11</v>
      </c>
      <c r="B144" s="1">
        <v>3</v>
      </c>
      <c r="C144" s="1">
        <v>143</v>
      </c>
      <c r="D144" s="1" t="s">
        <v>192</v>
      </c>
      <c r="E144" s="1" t="s">
        <v>556</v>
      </c>
      <c r="F144" s="1" t="s">
        <v>4</v>
      </c>
      <c r="G144" t="s">
        <v>463</v>
      </c>
      <c r="H144">
        <v>291</v>
      </c>
      <c r="I144" s="12">
        <v>80.86</v>
      </c>
      <c r="J144" s="12">
        <f>COUNTIF('Raw Data'!$G$2:$G$100001,'Draft Recap'!D144)</f>
        <v>3</v>
      </c>
      <c r="K144" s="12">
        <v>0</v>
      </c>
      <c r="L144" s="9">
        <f t="shared" si="15"/>
        <v>458.20666666666671</v>
      </c>
      <c r="M144" s="9">
        <f t="shared" si="16"/>
        <v>167.20666666666671</v>
      </c>
      <c r="N144" s="12">
        <v>0</v>
      </c>
      <c r="O144" s="9">
        <f t="shared" si="17"/>
        <v>0</v>
      </c>
      <c r="P144" s="18"/>
    </row>
    <row r="145" spans="1:16" x14ac:dyDescent="0.2">
      <c r="A145" s="1">
        <v>11</v>
      </c>
      <c r="B145" s="1">
        <v>4</v>
      </c>
      <c r="C145" s="1">
        <v>144</v>
      </c>
      <c r="D145" s="1" t="s">
        <v>278</v>
      </c>
      <c r="E145" s="1" t="s">
        <v>574</v>
      </c>
      <c r="F145" s="1" t="s">
        <v>6</v>
      </c>
      <c r="G145" t="s">
        <v>484</v>
      </c>
      <c r="H145">
        <v>117</v>
      </c>
      <c r="I145" s="12">
        <v>43.2</v>
      </c>
      <c r="J145" s="12">
        <f>COUNTIF('Raw Data'!$G$2:$G$100001,'Draft Recap'!D145)</f>
        <v>3</v>
      </c>
      <c r="K145" s="12">
        <v>0</v>
      </c>
      <c r="L145" s="9">
        <f t="shared" si="15"/>
        <v>244.8</v>
      </c>
      <c r="M145" s="9">
        <f t="shared" si="16"/>
        <v>127.80000000000001</v>
      </c>
      <c r="N145" s="12">
        <v>0</v>
      </c>
      <c r="O145" s="9">
        <f t="shared" si="17"/>
        <v>0</v>
      </c>
      <c r="P145" s="18"/>
    </row>
    <row r="146" spans="1:16" x14ac:dyDescent="0.2">
      <c r="A146" s="1">
        <v>11</v>
      </c>
      <c r="B146" s="1">
        <v>5</v>
      </c>
      <c r="C146" s="1">
        <v>145</v>
      </c>
      <c r="D146" s="1" t="s">
        <v>453</v>
      </c>
      <c r="E146" s="1" t="s">
        <v>571</v>
      </c>
      <c r="F146" s="1" t="s">
        <v>5</v>
      </c>
      <c r="G146" t="s">
        <v>468</v>
      </c>
      <c r="H146">
        <v>70</v>
      </c>
      <c r="I146" s="12">
        <v>13.3</v>
      </c>
      <c r="J146" s="12">
        <f>COUNTIF('Raw Data'!$G$2:$G$100001,'Draft Recap'!D146)</f>
        <v>3</v>
      </c>
      <c r="K146" s="12">
        <v>0</v>
      </c>
      <c r="L146" s="9">
        <f t="shared" si="15"/>
        <v>75.366666666666674</v>
      </c>
      <c r="M146" s="9">
        <f t="shared" si="16"/>
        <v>5.3666666666666742</v>
      </c>
      <c r="N146" s="12">
        <v>0</v>
      </c>
      <c r="O146" s="9">
        <f t="shared" si="17"/>
        <v>0</v>
      </c>
      <c r="P146" s="18"/>
    </row>
    <row r="147" spans="1:16" x14ac:dyDescent="0.2">
      <c r="A147" s="1">
        <v>11</v>
      </c>
      <c r="B147" s="1">
        <v>6</v>
      </c>
      <c r="C147" s="1">
        <v>146</v>
      </c>
      <c r="D147" s="1" t="s">
        <v>127</v>
      </c>
      <c r="E147" s="1" t="s">
        <v>578</v>
      </c>
      <c r="F147" s="1" t="s">
        <v>12</v>
      </c>
      <c r="G147" t="s">
        <v>545</v>
      </c>
      <c r="H147">
        <v>99</v>
      </c>
      <c r="I147" s="12">
        <v>31</v>
      </c>
      <c r="J147" s="12">
        <f>COUNTIF('Raw Data'!$G$2:$G$100001,'Draft Recap'!D147)</f>
        <v>3</v>
      </c>
      <c r="K147" s="12">
        <v>0</v>
      </c>
      <c r="L147" s="9">
        <f t="shared" si="15"/>
        <v>175.66666666666669</v>
      </c>
      <c r="M147" s="9">
        <f t="shared" si="16"/>
        <v>76.666666666666686</v>
      </c>
      <c r="N147" s="12">
        <v>0</v>
      </c>
      <c r="O147" s="9">
        <f t="shared" si="17"/>
        <v>0</v>
      </c>
      <c r="P147" s="18"/>
    </row>
    <row r="148" spans="1:16" x14ac:dyDescent="0.2">
      <c r="A148" s="1">
        <v>11</v>
      </c>
      <c r="B148" s="1">
        <v>7</v>
      </c>
      <c r="C148" s="1">
        <v>147</v>
      </c>
      <c r="D148" s="1" t="s">
        <v>82</v>
      </c>
      <c r="E148" s="1" t="s">
        <v>565</v>
      </c>
      <c r="F148" s="1" t="s">
        <v>4</v>
      </c>
      <c r="G148" t="s">
        <v>308</v>
      </c>
      <c r="H148">
        <v>291</v>
      </c>
      <c r="I148" s="12">
        <v>66.58</v>
      </c>
      <c r="J148" s="12">
        <f>COUNTIF('Raw Data'!$G$2:$G$100001,'Draft Recap'!D148)</f>
        <v>3</v>
      </c>
      <c r="K148" s="12">
        <v>0</v>
      </c>
      <c r="L148" s="9">
        <f t="shared" si="15"/>
        <v>377.28666666666663</v>
      </c>
      <c r="M148" s="9">
        <f t="shared" si="16"/>
        <v>86.286666666666633</v>
      </c>
      <c r="N148" s="12">
        <v>0</v>
      </c>
      <c r="O148" s="9">
        <f t="shared" si="17"/>
        <v>0</v>
      </c>
      <c r="P148" s="18"/>
    </row>
    <row r="149" spans="1:16" x14ac:dyDescent="0.2">
      <c r="A149" s="1">
        <v>11</v>
      </c>
      <c r="B149" s="1">
        <v>8</v>
      </c>
      <c r="C149" s="1">
        <v>148</v>
      </c>
      <c r="D149" s="1" t="s">
        <v>165</v>
      </c>
      <c r="E149" s="1" t="s">
        <v>575</v>
      </c>
      <c r="F149" s="1" t="s">
        <v>5</v>
      </c>
      <c r="G149" t="s">
        <v>309</v>
      </c>
      <c r="H149">
        <v>144</v>
      </c>
      <c r="I149" s="12">
        <v>25.6</v>
      </c>
      <c r="J149" s="12">
        <f>COUNTIF('Raw Data'!$G$2:$G$100001,'Draft Recap'!D149)</f>
        <v>3</v>
      </c>
      <c r="K149" s="12">
        <v>0</v>
      </c>
      <c r="L149" s="9">
        <f t="shared" si="15"/>
        <v>145.06666666666666</v>
      </c>
      <c r="M149" s="9">
        <f t="shared" si="16"/>
        <v>1.0666666666666629</v>
      </c>
      <c r="N149" s="12">
        <v>0</v>
      </c>
      <c r="O149" s="9">
        <f t="shared" si="17"/>
        <v>0</v>
      </c>
      <c r="P149" s="18"/>
    </row>
    <row r="150" spans="1:16" x14ac:dyDescent="0.2">
      <c r="A150" s="1">
        <v>11</v>
      </c>
      <c r="B150" s="1">
        <v>9</v>
      </c>
      <c r="C150" s="1">
        <v>149</v>
      </c>
      <c r="D150" s="1" t="s">
        <v>462</v>
      </c>
      <c r="E150" s="1" t="s">
        <v>569</v>
      </c>
      <c r="F150" s="1" t="s">
        <v>4</v>
      </c>
      <c r="G150" t="s">
        <v>469</v>
      </c>
      <c r="H150">
        <v>265</v>
      </c>
      <c r="I150" s="12">
        <v>69.38</v>
      </c>
      <c r="J150" s="12">
        <f>COUNTIF('Raw Data'!$G$2:$G$100001,'Draft Recap'!D150)</f>
        <v>3</v>
      </c>
      <c r="K150" s="12">
        <v>0</v>
      </c>
      <c r="L150" s="9">
        <f t="shared" si="15"/>
        <v>393.15333333333331</v>
      </c>
      <c r="M150" s="9">
        <f t="shared" si="16"/>
        <v>128.15333333333331</v>
      </c>
      <c r="N150" s="12">
        <v>0</v>
      </c>
      <c r="O150" s="9">
        <f t="shared" si="17"/>
        <v>0</v>
      </c>
      <c r="P150" s="18"/>
    </row>
    <row r="151" spans="1:16" x14ac:dyDescent="0.2">
      <c r="A151" s="1">
        <v>11</v>
      </c>
      <c r="B151" s="1">
        <v>10</v>
      </c>
      <c r="C151" s="1">
        <v>150</v>
      </c>
      <c r="D151" s="1" t="s">
        <v>156</v>
      </c>
      <c r="E151" s="1" t="s">
        <v>569</v>
      </c>
      <c r="F151" s="1" t="s">
        <v>9</v>
      </c>
      <c r="G151" t="s">
        <v>499</v>
      </c>
      <c r="H151">
        <v>115</v>
      </c>
      <c r="I151" s="12">
        <v>40.799999999999997</v>
      </c>
      <c r="J151" s="12">
        <f>COUNTIF('Raw Data'!$G$2:$G$100001,'Draft Recap'!D151)</f>
        <v>3</v>
      </c>
      <c r="K151" s="12">
        <v>0</v>
      </c>
      <c r="L151" s="9">
        <f t="shared" si="15"/>
        <v>231.2</v>
      </c>
      <c r="M151" s="9">
        <f t="shared" si="16"/>
        <v>116.19999999999999</v>
      </c>
      <c r="N151" s="12">
        <v>0</v>
      </c>
      <c r="O151" s="9">
        <f t="shared" si="17"/>
        <v>0</v>
      </c>
      <c r="P151" s="18"/>
    </row>
    <row r="152" spans="1:16" x14ac:dyDescent="0.2">
      <c r="A152" s="1">
        <v>11</v>
      </c>
      <c r="B152" s="1">
        <v>11</v>
      </c>
      <c r="C152" s="1">
        <v>151</v>
      </c>
      <c r="D152" s="1" t="s">
        <v>87</v>
      </c>
      <c r="E152" s="1" t="s">
        <v>565</v>
      </c>
      <c r="F152" s="1" t="s">
        <v>9</v>
      </c>
      <c r="G152" t="s">
        <v>255</v>
      </c>
      <c r="H152">
        <v>140</v>
      </c>
      <c r="I152" s="12">
        <v>42.1</v>
      </c>
      <c r="J152" s="12">
        <f>COUNTIF('Raw Data'!$G$2:$G$100001,'Draft Recap'!D152)</f>
        <v>3</v>
      </c>
      <c r="K152" s="12">
        <v>0</v>
      </c>
      <c r="L152" s="9">
        <f t="shared" si="15"/>
        <v>238.56666666666666</v>
      </c>
      <c r="M152" s="9">
        <f t="shared" si="16"/>
        <v>98.566666666666663</v>
      </c>
      <c r="N152" s="12">
        <v>0</v>
      </c>
      <c r="O152" s="9">
        <f t="shared" si="17"/>
        <v>0</v>
      </c>
      <c r="P152" s="18"/>
    </row>
    <row r="153" spans="1:16" x14ac:dyDescent="0.2">
      <c r="A153" s="1">
        <v>11</v>
      </c>
      <c r="B153" s="1">
        <v>12</v>
      </c>
      <c r="C153" s="1">
        <v>152</v>
      </c>
      <c r="D153" s="1" t="s">
        <v>115</v>
      </c>
      <c r="E153" s="1" t="s">
        <v>557</v>
      </c>
      <c r="F153" s="1" t="s">
        <v>9</v>
      </c>
      <c r="G153" t="s">
        <v>494</v>
      </c>
      <c r="H153">
        <v>119</v>
      </c>
      <c r="I153" s="12">
        <v>18.100000000000001</v>
      </c>
      <c r="J153" s="12">
        <f>COUNTIF('Raw Data'!$G$2:$G$100001,'Draft Recap'!D153)</f>
        <v>3</v>
      </c>
      <c r="K153" s="12">
        <v>0</v>
      </c>
      <c r="L153" s="9">
        <f t="shared" si="15"/>
        <v>102.56666666666669</v>
      </c>
      <c r="M153" s="9">
        <f t="shared" si="16"/>
        <v>-16.433333333333309</v>
      </c>
      <c r="N153" s="12">
        <v>0</v>
      </c>
      <c r="O153" s="9">
        <f t="shared" si="17"/>
        <v>0</v>
      </c>
      <c r="P153" s="18"/>
    </row>
    <row r="154" spans="1:16" x14ac:dyDescent="0.2">
      <c r="A154" s="1">
        <v>11</v>
      </c>
      <c r="B154" s="1">
        <v>13</v>
      </c>
      <c r="C154" s="1">
        <v>153</v>
      </c>
      <c r="D154" s="1" t="s">
        <v>107</v>
      </c>
      <c r="E154" s="1" t="s">
        <v>572</v>
      </c>
      <c r="F154" s="1" t="s">
        <v>6</v>
      </c>
      <c r="G154" t="s">
        <v>256</v>
      </c>
      <c r="H154">
        <v>114</v>
      </c>
      <c r="I154" s="12">
        <v>3.6</v>
      </c>
      <c r="J154" s="12">
        <f>COUNTIF('Raw Data'!$G$2:$G$100001,'Draft Recap'!D154)</f>
        <v>2</v>
      </c>
      <c r="K154" s="12">
        <v>0</v>
      </c>
      <c r="L154" s="9">
        <f t="shared" si="15"/>
        <v>20.400000000000002</v>
      </c>
      <c r="M154" s="9">
        <f t="shared" si="16"/>
        <v>-93.6</v>
      </c>
      <c r="N154" s="12">
        <v>0</v>
      </c>
      <c r="O154" s="9">
        <f t="shared" si="17"/>
        <v>0</v>
      </c>
      <c r="P154" s="18"/>
    </row>
    <row r="155" spans="1:16" x14ac:dyDescent="0.2">
      <c r="A155" s="1">
        <v>11</v>
      </c>
      <c r="B155" s="1">
        <v>14</v>
      </c>
      <c r="C155" s="1">
        <v>154</v>
      </c>
      <c r="D155" s="1" t="s">
        <v>332</v>
      </c>
      <c r="E155" s="1" t="s">
        <v>564</v>
      </c>
      <c r="F155" s="1" t="s">
        <v>5</v>
      </c>
      <c r="G155" t="s">
        <v>343</v>
      </c>
      <c r="H155">
        <v>120</v>
      </c>
      <c r="I155" s="12">
        <v>19.100000000000001</v>
      </c>
      <c r="J155" s="12">
        <f>COUNTIF('Raw Data'!$G$2:$G$100001,'Draft Recap'!D155)</f>
        <v>3</v>
      </c>
      <c r="K155" s="12">
        <v>0</v>
      </c>
      <c r="L155" s="9">
        <f t="shared" si="15"/>
        <v>108.23333333333335</v>
      </c>
      <c r="M155" s="9">
        <f t="shared" si="16"/>
        <v>-11.766666666666652</v>
      </c>
      <c r="N155" s="12">
        <v>0</v>
      </c>
      <c r="O155" s="9">
        <f t="shared" si="17"/>
        <v>0</v>
      </c>
      <c r="P155" s="18"/>
    </row>
    <row r="156" spans="1:16" x14ac:dyDescent="0.2">
      <c r="A156" s="1">
        <v>12</v>
      </c>
      <c r="B156" s="1">
        <v>1</v>
      </c>
      <c r="C156" s="1">
        <v>155</v>
      </c>
      <c r="D156" s="1" t="s">
        <v>259</v>
      </c>
      <c r="E156" s="1" t="s">
        <v>570</v>
      </c>
      <c r="F156" s="1" t="s">
        <v>6</v>
      </c>
      <c r="G156" t="s">
        <v>343</v>
      </c>
      <c r="H156">
        <v>110</v>
      </c>
      <c r="I156" s="12">
        <v>0</v>
      </c>
      <c r="J156" s="12">
        <f>COUNTIF('Raw Data'!$G$2:$G$100001,'Draft Recap'!D156)</f>
        <v>3</v>
      </c>
      <c r="K156" s="12">
        <v>0</v>
      </c>
      <c r="L156" s="9">
        <f t="shared" si="15"/>
        <v>0</v>
      </c>
      <c r="M156" s="9">
        <f t="shared" si="16"/>
        <v>-110</v>
      </c>
      <c r="N156" s="12">
        <v>0</v>
      </c>
      <c r="O156" s="9">
        <f t="shared" si="17"/>
        <v>0</v>
      </c>
      <c r="P156" s="18"/>
    </row>
    <row r="157" spans="1:16" x14ac:dyDescent="0.2">
      <c r="A157" s="1">
        <v>12</v>
      </c>
      <c r="B157" s="1">
        <v>2</v>
      </c>
      <c r="C157" s="1">
        <v>156</v>
      </c>
      <c r="D157" s="1" t="s">
        <v>69</v>
      </c>
      <c r="E157" s="1" t="s">
        <v>561</v>
      </c>
      <c r="F157" s="1" t="s">
        <v>12</v>
      </c>
      <c r="G157" t="s">
        <v>256</v>
      </c>
      <c r="H157">
        <v>111</v>
      </c>
      <c r="I157" s="12">
        <v>14</v>
      </c>
      <c r="J157" s="12">
        <f>COUNTIF('Raw Data'!$G$2:$G$100001,'Draft Recap'!D157)</f>
        <v>2</v>
      </c>
      <c r="K157" s="12">
        <v>0</v>
      </c>
      <c r="L157" s="9">
        <f t="shared" si="15"/>
        <v>79.333333333333343</v>
      </c>
      <c r="M157" s="9">
        <f t="shared" si="16"/>
        <v>-31.666666666666657</v>
      </c>
      <c r="N157" s="12">
        <v>0</v>
      </c>
      <c r="O157" s="9">
        <f t="shared" si="17"/>
        <v>0</v>
      </c>
      <c r="P157" s="18"/>
    </row>
    <row r="158" spans="1:16" x14ac:dyDescent="0.2">
      <c r="A158" s="1">
        <v>12</v>
      </c>
      <c r="B158" s="1">
        <v>3</v>
      </c>
      <c r="C158" s="1">
        <v>157</v>
      </c>
      <c r="D158" s="1" t="s">
        <v>112</v>
      </c>
      <c r="E158" s="1" t="s">
        <v>557</v>
      </c>
      <c r="F158" s="1" t="s">
        <v>4</v>
      </c>
      <c r="G158" t="s">
        <v>494</v>
      </c>
      <c r="H158">
        <v>283</v>
      </c>
      <c r="I158" s="12">
        <v>10.039999999999999</v>
      </c>
      <c r="J158" s="12">
        <f>COUNTIF('Raw Data'!$G$2:$G$100001,'Draft Recap'!D158)</f>
        <v>3</v>
      </c>
      <c r="K158" s="12">
        <v>0</v>
      </c>
      <c r="L158" s="9">
        <f t="shared" si="15"/>
        <v>56.893333333333324</v>
      </c>
      <c r="M158" s="9">
        <f t="shared" si="16"/>
        <v>-226.10666666666668</v>
      </c>
      <c r="N158" s="12">
        <v>1</v>
      </c>
      <c r="O158" s="9">
        <f t="shared" si="17"/>
        <v>0.75</v>
      </c>
      <c r="P158" s="18"/>
    </row>
    <row r="159" spans="1:16" x14ac:dyDescent="0.2">
      <c r="A159" s="1">
        <v>12</v>
      </c>
      <c r="B159" s="1">
        <v>4</v>
      </c>
      <c r="C159" s="1">
        <v>158</v>
      </c>
      <c r="D159" s="1" t="s">
        <v>504</v>
      </c>
      <c r="E159" s="1" t="s">
        <v>566</v>
      </c>
      <c r="F159" s="1" t="s">
        <v>5</v>
      </c>
      <c r="G159" t="s">
        <v>255</v>
      </c>
      <c r="H159">
        <v>63</v>
      </c>
      <c r="I159" s="12">
        <v>16.2</v>
      </c>
      <c r="J159" s="12">
        <f>COUNTIF('Raw Data'!$G$2:$G$100001,'Draft Recap'!D159)</f>
        <v>2</v>
      </c>
      <c r="K159" s="12">
        <v>0</v>
      </c>
      <c r="L159" s="9">
        <f t="shared" ref="L159:L190" si="18">IF(I159=0,0,I159+I159/($Q$1-K159)*(18-$Q$1-1+K159))</f>
        <v>91.8</v>
      </c>
      <c r="M159" s="9">
        <f t="shared" si="16"/>
        <v>28.799999999999997</v>
      </c>
      <c r="N159" s="12">
        <v>0</v>
      </c>
      <c r="O159" s="9">
        <f t="shared" si="17"/>
        <v>0</v>
      </c>
      <c r="P159" s="18"/>
    </row>
    <row r="160" spans="1:16" x14ac:dyDescent="0.2">
      <c r="A160" s="1">
        <v>12</v>
      </c>
      <c r="B160" s="1">
        <v>5</v>
      </c>
      <c r="C160" s="1">
        <v>159</v>
      </c>
      <c r="D160" s="1" t="s">
        <v>240</v>
      </c>
      <c r="E160" s="1" t="s">
        <v>570</v>
      </c>
      <c r="F160" s="1" t="s">
        <v>4</v>
      </c>
      <c r="G160" t="s">
        <v>499</v>
      </c>
      <c r="H160">
        <v>264</v>
      </c>
      <c r="I160" s="12">
        <v>35.1</v>
      </c>
      <c r="J160" s="12">
        <f>COUNTIF('Raw Data'!$G$2:$G$100001,'Draft Recap'!D160)</f>
        <v>3</v>
      </c>
      <c r="K160" s="12">
        <v>0</v>
      </c>
      <c r="L160" s="9">
        <f t="shared" si="18"/>
        <v>198.9</v>
      </c>
      <c r="M160" s="9">
        <f t="shared" si="16"/>
        <v>-65.099999999999994</v>
      </c>
      <c r="N160" s="12">
        <v>0</v>
      </c>
      <c r="O160" s="9">
        <f t="shared" si="17"/>
        <v>0</v>
      </c>
      <c r="P160" s="18"/>
    </row>
    <row r="161" spans="1:16" x14ac:dyDescent="0.2">
      <c r="A161" s="1">
        <v>12</v>
      </c>
      <c r="B161" s="1">
        <v>6</v>
      </c>
      <c r="C161" s="1">
        <v>160</v>
      </c>
      <c r="D161" s="1" t="s">
        <v>506</v>
      </c>
      <c r="E161" s="1" t="s">
        <v>565</v>
      </c>
      <c r="F161" s="1" t="s">
        <v>5</v>
      </c>
      <c r="G161" t="s">
        <v>469</v>
      </c>
      <c r="H161">
        <v>50</v>
      </c>
      <c r="I161" s="12">
        <v>14</v>
      </c>
      <c r="J161" s="12">
        <f>COUNTIF('Raw Data'!$G$2:$G$100001,'Draft Recap'!D161)</f>
        <v>2</v>
      </c>
      <c r="K161" s="12">
        <v>0</v>
      </c>
      <c r="L161" s="9">
        <f t="shared" si="18"/>
        <v>79.333333333333343</v>
      </c>
      <c r="M161" s="9">
        <f t="shared" si="16"/>
        <v>29.333333333333343</v>
      </c>
      <c r="N161" s="12">
        <v>0</v>
      </c>
      <c r="O161" s="9">
        <f t="shared" si="17"/>
        <v>0</v>
      </c>
      <c r="P161" s="18"/>
    </row>
    <row r="162" spans="1:16" x14ac:dyDescent="0.2">
      <c r="A162" s="1">
        <v>12</v>
      </c>
      <c r="B162" s="1">
        <v>7</v>
      </c>
      <c r="C162" s="1">
        <v>161</v>
      </c>
      <c r="D162" s="1" t="s">
        <v>198</v>
      </c>
      <c r="E162" s="1" t="s">
        <v>564</v>
      </c>
      <c r="F162" s="1" t="s">
        <v>5</v>
      </c>
      <c r="G162" t="s">
        <v>309</v>
      </c>
      <c r="H162">
        <v>0</v>
      </c>
      <c r="I162" s="12">
        <v>0</v>
      </c>
      <c r="J162" s="12">
        <f>COUNTIF('Raw Data'!$G$2:$G$100001,'Draft Recap'!D162)</f>
        <v>3</v>
      </c>
      <c r="K162" s="12">
        <v>0</v>
      </c>
      <c r="L162" s="9">
        <f t="shared" si="18"/>
        <v>0</v>
      </c>
      <c r="M162" s="9">
        <f t="shared" si="16"/>
        <v>0</v>
      </c>
      <c r="N162" s="12">
        <v>0</v>
      </c>
      <c r="O162" s="9">
        <f t="shared" si="17"/>
        <v>0</v>
      </c>
      <c r="P162" s="18"/>
    </row>
    <row r="163" spans="1:16" x14ac:dyDescent="0.2">
      <c r="A163" s="1">
        <v>12</v>
      </c>
      <c r="B163" s="1">
        <v>8</v>
      </c>
      <c r="C163" s="1">
        <v>162</v>
      </c>
      <c r="D163" s="1" t="s">
        <v>233</v>
      </c>
      <c r="E163" s="1" t="s">
        <v>580</v>
      </c>
      <c r="F163" s="1" t="s">
        <v>4</v>
      </c>
      <c r="G163" t="s">
        <v>308</v>
      </c>
      <c r="H163">
        <v>262</v>
      </c>
      <c r="I163" s="12">
        <v>51.76</v>
      </c>
      <c r="J163" s="12">
        <f>COUNTIF('Raw Data'!$G$2:$G$100001,'Draft Recap'!D163)</f>
        <v>3</v>
      </c>
      <c r="K163" s="12">
        <v>0</v>
      </c>
      <c r="L163" s="9">
        <f t="shared" si="18"/>
        <v>293.30666666666667</v>
      </c>
      <c r="M163" s="9">
        <f t="shared" si="16"/>
        <v>31.306666666666672</v>
      </c>
      <c r="N163" s="12">
        <v>0</v>
      </c>
      <c r="O163" s="9">
        <f t="shared" si="17"/>
        <v>0</v>
      </c>
      <c r="P163" s="18"/>
    </row>
    <row r="164" spans="1:16" x14ac:dyDescent="0.2">
      <c r="A164" s="1">
        <v>12</v>
      </c>
      <c r="B164" s="1">
        <v>9</v>
      </c>
      <c r="C164" s="1">
        <v>163</v>
      </c>
      <c r="D164" s="1" t="s">
        <v>202</v>
      </c>
      <c r="E164" s="1" t="s">
        <v>564</v>
      </c>
      <c r="F164" s="1" t="s">
        <v>4</v>
      </c>
      <c r="G164" t="s">
        <v>545</v>
      </c>
      <c r="H164">
        <v>246</v>
      </c>
      <c r="I164" s="12">
        <v>45.16</v>
      </c>
      <c r="J164" s="12">
        <f>COUNTIF('Raw Data'!$G$2:$G$100001,'Draft Recap'!D164)</f>
        <v>3</v>
      </c>
      <c r="K164" s="12">
        <v>0</v>
      </c>
      <c r="L164" s="9">
        <f t="shared" si="18"/>
        <v>255.90666666666667</v>
      </c>
      <c r="M164" s="9">
        <f t="shared" si="16"/>
        <v>9.9066666666666663</v>
      </c>
      <c r="N164" s="12">
        <v>0</v>
      </c>
      <c r="O164" s="9">
        <f t="shared" si="17"/>
        <v>0</v>
      </c>
      <c r="P164" s="18"/>
    </row>
    <row r="165" spans="1:16" x14ac:dyDescent="0.2">
      <c r="A165" s="1">
        <v>12</v>
      </c>
      <c r="B165" s="1">
        <v>10</v>
      </c>
      <c r="C165" s="1">
        <v>164</v>
      </c>
      <c r="D165" s="1" t="s">
        <v>472</v>
      </c>
      <c r="E165" s="1" t="s">
        <v>572</v>
      </c>
      <c r="F165" s="1" t="s">
        <v>6</v>
      </c>
      <c r="G165" t="s">
        <v>468</v>
      </c>
      <c r="H165">
        <v>115</v>
      </c>
      <c r="I165" s="12">
        <v>38</v>
      </c>
      <c r="J165" s="12">
        <f>COUNTIF('Raw Data'!$G$2:$G$100001,'Draft Recap'!D165)</f>
        <v>3</v>
      </c>
      <c r="K165" s="12">
        <v>0</v>
      </c>
      <c r="L165" s="9">
        <f t="shared" si="18"/>
        <v>215.33333333333331</v>
      </c>
      <c r="M165" s="9">
        <f t="shared" si="16"/>
        <v>100.33333333333331</v>
      </c>
      <c r="N165" s="12">
        <v>0</v>
      </c>
      <c r="O165" s="9">
        <f t="shared" si="17"/>
        <v>0</v>
      </c>
      <c r="P165" s="18"/>
    </row>
    <row r="166" spans="1:16" x14ac:dyDescent="0.2">
      <c r="A166" s="1">
        <v>12</v>
      </c>
      <c r="B166" s="1">
        <v>11</v>
      </c>
      <c r="C166" s="1">
        <v>165</v>
      </c>
      <c r="D166" s="1" t="s">
        <v>63</v>
      </c>
      <c r="E166" s="1" t="s">
        <v>559</v>
      </c>
      <c r="F166" s="1" t="s">
        <v>12</v>
      </c>
      <c r="G166" t="s">
        <v>484</v>
      </c>
      <c r="H166">
        <v>102</v>
      </c>
      <c r="I166" s="12">
        <v>8</v>
      </c>
      <c r="J166" s="12">
        <f>COUNTIF('Raw Data'!$G$2:$G$100001,'Draft Recap'!D166)</f>
        <v>3</v>
      </c>
      <c r="K166" s="12">
        <v>0</v>
      </c>
      <c r="L166" s="9">
        <f t="shared" si="18"/>
        <v>45.333333333333329</v>
      </c>
      <c r="M166" s="9">
        <f t="shared" si="16"/>
        <v>-56.666666666666671</v>
      </c>
      <c r="N166" s="12">
        <v>0</v>
      </c>
      <c r="O166" s="9">
        <f t="shared" si="17"/>
        <v>0</v>
      </c>
      <c r="P166" s="18"/>
    </row>
    <row r="167" spans="1:16" x14ac:dyDescent="0.2">
      <c r="A167" s="1">
        <v>12</v>
      </c>
      <c r="B167" s="1">
        <v>12</v>
      </c>
      <c r="C167" s="1">
        <v>166</v>
      </c>
      <c r="D167" s="1" t="s">
        <v>206</v>
      </c>
      <c r="E167" s="1" t="s">
        <v>575</v>
      </c>
      <c r="F167" s="1" t="s">
        <v>9</v>
      </c>
      <c r="G167" t="s">
        <v>463</v>
      </c>
      <c r="H167">
        <v>96</v>
      </c>
      <c r="I167" s="12">
        <v>2.6</v>
      </c>
      <c r="J167" s="12">
        <f>COUNTIF('Raw Data'!$G$2:$G$100001,'Draft Recap'!D167)</f>
        <v>2</v>
      </c>
      <c r="K167" s="12">
        <v>0</v>
      </c>
      <c r="L167" s="9">
        <f t="shared" si="18"/>
        <v>14.733333333333333</v>
      </c>
      <c r="M167" s="9">
        <f t="shared" si="16"/>
        <v>-81.266666666666666</v>
      </c>
      <c r="N167" s="12">
        <v>2</v>
      </c>
      <c r="O167" s="9">
        <f t="shared" si="17"/>
        <v>1.5</v>
      </c>
      <c r="P167" s="18"/>
    </row>
    <row r="168" spans="1:16" x14ac:dyDescent="0.2">
      <c r="A168" s="1">
        <v>12</v>
      </c>
      <c r="B168" s="1">
        <v>13</v>
      </c>
      <c r="C168" s="1">
        <v>167</v>
      </c>
      <c r="D168" s="1" t="s">
        <v>239</v>
      </c>
      <c r="E168" s="1" t="s">
        <v>555</v>
      </c>
      <c r="F168" s="1" t="s">
        <v>4</v>
      </c>
      <c r="G168" t="s">
        <v>483</v>
      </c>
      <c r="H168">
        <v>242</v>
      </c>
      <c r="I168" s="12">
        <v>28.18</v>
      </c>
      <c r="J168" s="12">
        <f>COUNTIF('Raw Data'!$G$2:$G$100001,'Draft Recap'!D168)</f>
        <v>3</v>
      </c>
      <c r="K168" s="12">
        <v>0</v>
      </c>
      <c r="L168" s="9">
        <f t="shared" si="18"/>
        <v>159.68666666666667</v>
      </c>
      <c r="M168" s="9">
        <f t="shared" si="16"/>
        <v>-82.313333333333333</v>
      </c>
      <c r="N168" s="12">
        <v>1</v>
      </c>
      <c r="O168" s="9">
        <f t="shared" si="17"/>
        <v>0.75</v>
      </c>
      <c r="P168" s="18"/>
    </row>
    <row r="169" spans="1:16" x14ac:dyDescent="0.2">
      <c r="A169" s="1">
        <v>12</v>
      </c>
      <c r="B169" s="1">
        <v>14</v>
      </c>
      <c r="C169" s="1">
        <v>168</v>
      </c>
      <c r="D169" s="1" t="s">
        <v>151</v>
      </c>
      <c r="E169" s="1" t="s">
        <v>567</v>
      </c>
      <c r="F169" s="1" t="s">
        <v>12</v>
      </c>
      <c r="G169" t="s">
        <v>478</v>
      </c>
      <c r="H169">
        <v>90</v>
      </c>
      <c r="I169" s="12">
        <v>27</v>
      </c>
      <c r="J169" s="12">
        <f>COUNTIF('Raw Data'!$G$2:$G$100001,'Draft Recap'!D169)</f>
        <v>3</v>
      </c>
      <c r="K169" s="12">
        <v>0</v>
      </c>
      <c r="L169" s="9">
        <f t="shared" si="18"/>
        <v>153</v>
      </c>
      <c r="M169" s="9">
        <f t="shared" si="16"/>
        <v>63</v>
      </c>
      <c r="N169" s="12">
        <v>0</v>
      </c>
      <c r="O169" s="9">
        <f t="shared" si="17"/>
        <v>0</v>
      </c>
      <c r="P169" s="18"/>
    </row>
    <row r="170" spans="1:16" x14ac:dyDescent="0.2">
      <c r="A170" s="1">
        <v>13</v>
      </c>
      <c r="B170" s="1">
        <v>1</v>
      </c>
      <c r="C170" s="1">
        <v>169</v>
      </c>
      <c r="D170" s="1" t="s">
        <v>452</v>
      </c>
      <c r="E170" s="1" t="s">
        <v>556</v>
      </c>
      <c r="F170" s="1" t="s">
        <v>13</v>
      </c>
      <c r="G170" t="s">
        <v>478</v>
      </c>
      <c r="H170">
        <v>138</v>
      </c>
      <c r="I170" s="12">
        <v>23</v>
      </c>
      <c r="J170" s="12">
        <f>COUNTIF('Raw Data'!$G$2:$G$100001,'Draft Recap'!D170)</f>
        <v>3</v>
      </c>
      <c r="K170" s="12">
        <v>0</v>
      </c>
      <c r="L170" s="9">
        <f t="shared" si="18"/>
        <v>130.33333333333334</v>
      </c>
      <c r="M170" s="9">
        <f t="shared" si="16"/>
        <v>-7.6666666666666572</v>
      </c>
      <c r="N170" s="12">
        <v>0</v>
      </c>
      <c r="O170" s="9">
        <f t="shared" si="17"/>
        <v>0</v>
      </c>
      <c r="P170" s="18"/>
    </row>
    <row r="171" spans="1:16" x14ac:dyDescent="0.2">
      <c r="A171" s="1">
        <v>13</v>
      </c>
      <c r="B171" s="1">
        <v>2</v>
      </c>
      <c r="C171" s="1">
        <v>170</v>
      </c>
      <c r="D171" s="1" t="s">
        <v>245</v>
      </c>
      <c r="E171" s="1" t="s">
        <v>557</v>
      </c>
      <c r="F171" s="1" t="s">
        <v>6</v>
      </c>
      <c r="G171" t="s">
        <v>483</v>
      </c>
      <c r="H171">
        <v>92</v>
      </c>
      <c r="I171" s="12">
        <v>0.6</v>
      </c>
      <c r="J171" s="12">
        <f>COUNTIF('Raw Data'!$G$2:$G$100001,'Draft Recap'!D171)</f>
        <v>2</v>
      </c>
      <c r="K171" s="12">
        <v>0</v>
      </c>
      <c r="L171" s="9">
        <f t="shared" si="18"/>
        <v>3.4</v>
      </c>
      <c r="M171" s="9">
        <f t="shared" si="16"/>
        <v>-88.6</v>
      </c>
      <c r="N171" s="12">
        <v>1</v>
      </c>
      <c r="O171" s="9">
        <f t="shared" si="17"/>
        <v>0.5</v>
      </c>
      <c r="P171" s="18"/>
    </row>
    <row r="172" spans="1:16" x14ac:dyDescent="0.2">
      <c r="A172" s="1">
        <v>13</v>
      </c>
      <c r="B172" s="1">
        <v>3</v>
      </c>
      <c r="C172" s="1">
        <v>171</v>
      </c>
      <c r="D172" s="1" t="s">
        <v>548</v>
      </c>
      <c r="E172" s="1" t="s">
        <v>572</v>
      </c>
      <c r="F172" s="1" t="s">
        <v>12</v>
      </c>
      <c r="G172" t="s">
        <v>463</v>
      </c>
      <c r="H172">
        <v>80</v>
      </c>
      <c r="I172" s="12">
        <v>8</v>
      </c>
      <c r="J172" s="12">
        <f>COUNTIF('Raw Data'!$G$2:$G$100001,'Draft Recap'!D172)</f>
        <v>0</v>
      </c>
      <c r="K172" s="12">
        <v>0</v>
      </c>
      <c r="L172" s="9">
        <f t="shared" si="18"/>
        <v>45.333333333333329</v>
      </c>
      <c r="M172" s="9">
        <f t="shared" si="16"/>
        <v>-34.666666666666671</v>
      </c>
      <c r="N172" s="12">
        <v>0</v>
      </c>
      <c r="O172" s="9">
        <f t="shared" si="17"/>
        <v>0</v>
      </c>
      <c r="P172" s="18"/>
    </row>
    <row r="173" spans="1:16" x14ac:dyDescent="0.2">
      <c r="A173" s="1">
        <v>13</v>
      </c>
      <c r="B173" s="1">
        <v>4</v>
      </c>
      <c r="C173" s="1">
        <v>172</v>
      </c>
      <c r="D173" s="1" t="s">
        <v>219</v>
      </c>
      <c r="E173" s="1" t="s">
        <v>555</v>
      </c>
      <c r="F173" s="1" t="s">
        <v>6</v>
      </c>
      <c r="G173" t="s">
        <v>484</v>
      </c>
      <c r="H173">
        <v>123</v>
      </c>
      <c r="I173" s="12">
        <v>8.6999999999999993</v>
      </c>
      <c r="J173" s="12">
        <f>COUNTIF('Raw Data'!$G$2:$G$100001,'Draft Recap'!D173)</f>
        <v>2</v>
      </c>
      <c r="K173" s="12">
        <v>0</v>
      </c>
      <c r="L173" s="9">
        <f t="shared" si="18"/>
        <v>49.3</v>
      </c>
      <c r="M173" s="9">
        <f t="shared" si="16"/>
        <v>-73.7</v>
      </c>
      <c r="N173" s="12">
        <v>0</v>
      </c>
      <c r="O173" s="9">
        <f t="shared" si="17"/>
        <v>0</v>
      </c>
      <c r="P173" s="18"/>
    </row>
    <row r="174" spans="1:16" x14ac:dyDescent="0.2">
      <c r="A174" s="1">
        <v>13</v>
      </c>
      <c r="B174" s="1">
        <v>5</v>
      </c>
      <c r="C174" s="1">
        <v>173</v>
      </c>
      <c r="D174" s="1" t="s">
        <v>445</v>
      </c>
      <c r="E174" s="1" t="s">
        <v>560</v>
      </c>
      <c r="F174" s="1" t="s">
        <v>12</v>
      </c>
      <c r="G174" t="s">
        <v>468</v>
      </c>
      <c r="H174">
        <v>62</v>
      </c>
      <c r="I174" s="12">
        <v>17</v>
      </c>
      <c r="J174" s="12">
        <f>COUNTIF('Raw Data'!$G$2:$G$100001,'Draft Recap'!D174)</f>
        <v>2</v>
      </c>
      <c r="K174" s="12">
        <v>0</v>
      </c>
      <c r="L174" s="9">
        <f t="shared" si="18"/>
        <v>96.333333333333343</v>
      </c>
      <c r="M174" s="9">
        <f t="shared" si="16"/>
        <v>34.333333333333343</v>
      </c>
      <c r="N174" s="12">
        <v>0</v>
      </c>
      <c r="O174" s="9">
        <f t="shared" si="17"/>
        <v>0</v>
      </c>
      <c r="P174" s="18"/>
    </row>
    <row r="175" spans="1:16" x14ac:dyDescent="0.2">
      <c r="A175" s="1">
        <v>13</v>
      </c>
      <c r="B175" s="1">
        <v>6</v>
      </c>
      <c r="C175" s="1">
        <v>174</v>
      </c>
      <c r="D175" s="1" t="s">
        <v>40</v>
      </c>
      <c r="E175" s="1" t="s">
        <v>564</v>
      </c>
      <c r="F175" s="1" t="s">
        <v>9</v>
      </c>
      <c r="G175" t="s">
        <v>545</v>
      </c>
      <c r="H175">
        <v>103</v>
      </c>
      <c r="I175" s="12">
        <v>30</v>
      </c>
      <c r="J175" s="12">
        <f>COUNTIF('Raw Data'!$G$2:$G$100001,'Draft Recap'!D175)</f>
        <v>3</v>
      </c>
      <c r="K175" s="12">
        <v>0</v>
      </c>
      <c r="L175" s="9">
        <f t="shared" si="18"/>
        <v>170</v>
      </c>
      <c r="M175" s="9">
        <f t="shared" si="16"/>
        <v>67</v>
      </c>
      <c r="N175" s="12">
        <v>0</v>
      </c>
      <c r="O175" s="9">
        <f t="shared" si="17"/>
        <v>0</v>
      </c>
      <c r="P175" s="18"/>
    </row>
    <row r="176" spans="1:16" x14ac:dyDescent="0.2">
      <c r="A176" s="1">
        <v>13</v>
      </c>
      <c r="B176" s="1">
        <v>7</v>
      </c>
      <c r="C176" s="1">
        <v>175</v>
      </c>
      <c r="D176" s="1" t="s">
        <v>159</v>
      </c>
      <c r="E176" s="1" t="s">
        <v>565</v>
      </c>
      <c r="F176" s="1" t="s">
        <v>12</v>
      </c>
      <c r="G176" t="s">
        <v>308</v>
      </c>
      <c r="H176">
        <v>87</v>
      </c>
      <c r="I176" s="12">
        <v>22</v>
      </c>
      <c r="J176" s="12">
        <f>COUNTIF('Raw Data'!$G$2:$G$100001,'Draft Recap'!D176)</f>
        <v>3</v>
      </c>
      <c r="K176" s="12">
        <v>0</v>
      </c>
      <c r="L176" s="9">
        <f t="shared" si="18"/>
        <v>124.66666666666666</v>
      </c>
      <c r="M176" s="9">
        <f t="shared" si="16"/>
        <v>37.666666666666657</v>
      </c>
      <c r="N176" s="12">
        <v>0</v>
      </c>
      <c r="O176" s="9">
        <f t="shared" si="17"/>
        <v>0</v>
      </c>
      <c r="P176" s="18"/>
    </row>
    <row r="177" spans="1:16" x14ac:dyDescent="0.2">
      <c r="A177" s="1">
        <v>13</v>
      </c>
      <c r="B177" s="1">
        <v>8</v>
      </c>
      <c r="C177" s="1">
        <v>176</v>
      </c>
      <c r="D177" s="1" t="s">
        <v>153</v>
      </c>
      <c r="E177" s="1" t="s">
        <v>549</v>
      </c>
      <c r="F177" s="1" t="s">
        <v>5</v>
      </c>
      <c r="G177" t="s">
        <v>309</v>
      </c>
      <c r="H177">
        <v>67</v>
      </c>
      <c r="I177" s="12">
        <v>0</v>
      </c>
      <c r="J177" s="12">
        <f>COUNTIF('Raw Data'!$G$2:$G$100001,'Draft Recap'!D177)</f>
        <v>3</v>
      </c>
      <c r="K177" s="12">
        <v>0</v>
      </c>
      <c r="L177" s="9">
        <f t="shared" si="18"/>
        <v>0</v>
      </c>
      <c r="M177" s="9">
        <f t="shared" si="16"/>
        <v>-67</v>
      </c>
      <c r="N177" s="12">
        <v>0</v>
      </c>
      <c r="O177" s="9">
        <f t="shared" si="17"/>
        <v>0</v>
      </c>
      <c r="P177" s="18"/>
    </row>
    <row r="178" spans="1:16" x14ac:dyDescent="0.2">
      <c r="A178" s="1">
        <v>13</v>
      </c>
      <c r="B178" s="1">
        <v>9</v>
      </c>
      <c r="C178" s="1">
        <v>177</v>
      </c>
      <c r="D178" s="1" t="s">
        <v>141</v>
      </c>
      <c r="E178" s="1" t="s">
        <v>557</v>
      </c>
      <c r="F178" s="1" t="s">
        <v>12</v>
      </c>
      <c r="G178" t="s">
        <v>469</v>
      </c>
      <c r="H178">
        <v>101</v>
      </c>
      <c r="I178" s="12">
        <v>40</v>
      </c>
      <c r="J178" s="12">
        <f>COUNTIF('Raw Data'!$G$2:$G$100001,'Draft Recap'!D178)</f>
        <v>3</v>
      </c>
      <c r="K178" s="12">
        <v>0</v>
      </c>
      <c r="L178" s="9">
        <f t="shared" si="18"/>
        <v>226.66666666666669</v>
      </c>
      <c r="M178" s="9">
        <f t="shared" si="16"/>
        <v>125.66666666666669</v>
      </c>
      <c r="N178" s="12">
        <v>0</v>
      </c>
      <c r="O178" s="9">
        <f t="shared" si="17"/>
        <v>0</v>
      </c>
      <c r="P178" s="18"/>
    </row>
    <row r="179" spans="1:16" x14ac:dyDescent="0.2">
      <c r="A179" s="1">
        <v>13</v>
      </c>
      <c r="B179" s="1">
        <v>10</v>
      </c>
      <c r="C179" s="1">
        <v>178</v>
      </c>
      <c r="D179" s="1" t="s">
        <v>145</v>
      </c>
      <c r="E179" s="1" t="s">
        <v>550</v>
      </c>
      <c r="F179" s="1" t="s">
        <v>5</v>
      </c>
      <c r="G179" t="s">
        <v>499</v>
      </c>
      <c r="H179">
        <v>90</v>
      </c>
      <c r="I179" s="12">
        <v>21.8</v>
      </c>
      <c r="J179" s="12">
        <f>COUNTIF('Raw Data'!$G$2:$G$100001,'Draft Recap'!D179)</f>
        <v>3</v>
      </c>
      <c r="K179" s="12">
        <v>0</v>
      </c>
      <c r="L179" s="9">
        <f t="shared" si="18"/>
        <v>123.53333333333333</v>
      </c>
      <c r="M179" s="9">
        <f t="shared" si="16"/>
        <v>33.533333333333331</v>
      </c>
      <c r="N179" s="12">
        <v>0</v>
      </c>
      <c r="O179" s="9">
        <f t="shared" si="17"/>
        <v>0</v>
      </c>
      <c r="P179" s="18"/>
    </row>
    <row r="180" spans="1:16" x14ac:dyDescent="0.2">
      <c r="A180" s="1">
        <v>13</v>
      </c>
      <c r="B180" s="1">
        <v>11</v>
      </c>
      <c r="C180" s="1">
        <v>179</v>
      </c>
      <c r="D180" s="1" t="s">
        <v>190</v>
      </c>
      <c r="E180" s="1" t="s">
        <v>579</v>
      </c>
      <c r="F180" s="1" t="s">
        <v>6</v>
      </c>
      <c r="G180" t="s">
        <v>255</v>
      </c>
      <c r="H180">
        <v>114</v>
      </c>
      <c r="I180" s="12">
        <v>4.5</v>
      </c>
      <c r="J180" s="12">
        <f>COUNTIF('Raw Data'!$G$2:$G$100001,'Draft Recap'!D180)</f>
        <v>3</v>
      </c>
      <c r="K180" s="12">
        <v>0</v>
      </c>
      <c r="L180" s="9">
        <f t="shared" si="18"/>
        <v>25.5</v>
      </c>
      <c r="M180" s="9">
        <f t="shared" si="16"/>
        <v>-88.5</v>
      </c>
      <c r="N180" s="12">
        <v>0</v>
      </c>
      <c r="O180" s="9">
        <f t="shared" si="17"/>
        <v>0</v>
      </c>
      <c r="P180" s="18"/>
    </row>
    <row r="181" spans="1:16" x14ac:dyDescent="0.2">
      <c r="A181" s="1">
        <v>13</v>
      </c>
      <c r="B181" s="1">
        <v>12</v>
      </c>
      <c r="C181" s="1">
        <v>180</v>
      </c>
      <c r="D181" s="1" t="s">
        <v>330</v>
      </c>
      <c r="E181" s="1" t="s">
        <v>561</v>
      </c>
      <c r="F181" s="1" t="s">
        <v>13</v>
      </c>
      <c r="G181" t="s">
        <v>494</v>
      </c>
      <c r="H181">
        <v>131</v>
      </c>
      <c r="I181" s="12">
        <v>31</v>
      </c>
      <c r="J181" s="12">
        <f>COUNTIF('Raw Data'!$G$2:$G$100001,'Draft Recap'!D181)</f>
        <v>3</v>
      </c>
      <c r="K181" s="12">
        <v>0</v>
      </c>
      <c r="L181" s="9">
        <f t="shared" si="18"/>
        <v>175.66666666666669</v>
      </c>
      <c r="M181" s="9">
        <f t="shared" si="16"/>
        <v>44.666666666666686</v>
      </c>
      <c r="N181" s="12">
        <v>0</v>
      </c>
      <c r="O181" s="9">
        <f t="shared" si="17"/>
        <v>0</v>
      </c>
      <c r="P181" s="18"/>
    </row>
    <row r="182" spans="1:16" x14ac:dyDescent="0.2">
      <c r="A182" s="1">
        <v>13</v>
      </c>
      <c r="B182" s="1">
        <v>13</v>
      </c>
      <c r="C182" s="1">
        <v>181</v>
      </c>
      <c r="D182" s="1" t="s">
        <v>244</v>
      </c>
      <c r="E182" s="1" t="s">
        <v>566</v>
      </c>
      <c r="F182" s="1" t="s">
        <v>6</v>
      </c>
      <c r="G182" t="s">
        <v>256</v>
      </c>
      <c r="H182">
        <v>103</v>
      </c>
      <c r="I182" s="12">
        <v>7.7</v>
      </c>
      <c r="J182" s="12">
        <f>COUNTIF('Raw Data'!$G$2:$G$100001,'Draft Recap'!D182)</f>
        <v>3</v>
      </c>
      <c r="K182" s="12">
        <v>0</v>
      </c>
      <c r="L182" s="9">
        <f t="shared" si="18"/>
        <v>43.63333333333334</v>
      </c>
      <c r="M182" s="9">
        <f t="shared" si="16"/>
        <v>-59.36666666666666</v>
      </c>
      <c r="N182" s="12">
        <v>0</v>
      </c>
      <c r="O182" s="9">
        <f t="shared" si="17"/>
        <v>0</v>
      </c>
      <c r="P182" s="18"/>
    </row>
    <row r="183" spans="1:16" x14ac:dyDescent="0.2">
      <c r="A183" s="1">
        <v>13</v>
      </c>
      <c r="B183" s="1">
        <v>14</v>
      </c>
      <c r="C183" s="1">
        <v>182</v>
      </c>
      <c r="D183" s="1" t="s">
        <v>493</v>
      </c>
      <c r="E183" s="1" t="s">
        <v>552</v>
      </c>
      <c r="F183" s="1" t="s">
        <v>9</v>
      </c>
      <c r="G183" t="s">
        <v>343</v>
      </c>
      <c r="H183">
        <v>113</v>
      </c>
      <c r="I183" s="12">
        <v>15.8</v>
      </c>
      <c r="J183" s="12">
        <f>COUNTIF('Raw Data'!$G$2:$G$100001,'Draft Recap'!D183)</f>
        <v>3</v>
      </c>
      <c r="K183" s="12">
        <v>0</v>
      </c>
      <c r="L183" s="9">
        <f t="shared" si="18"/>
        <v>89.533333333333331</v>
      </c>
      <c r="M183" s="9">
        <f t="shared" si="16"/>
        <v>-23.466666666666669</v>
      </c>
      <c r="N183" s="12">
        <v>0</v>
      </c>
      <c r="O183" s="9">
        <f t="shared" si="17"/>
        <v>0</v>
      </c>
      <c r="P183" s="18"/>
    </row>
    <row r="184" spans="1:16" x14ac:dyDescent="0.2">
      <c r="A184" s="1">
        <v>14</v>
      </c>
      <c r="B184" s="1">
        <v>1</v>
      </c>
      <c r="C184" s="1">
        <v>183</v>
      </c>
      <c r="D184" s="1" t="s">
        <v>164</v>
      </c>
      <c r="E184" s="1" t="s">
        <v>551</v>
      </c>
      <c r="F184" s="1" t="s">
        <v>5</v>
      </c>
      <c r="G184" t="s">
        <v>343</v>
      </c>
      <c r="H184">
        <v>91</v>
      </c>
      <c r="I184" s="12">
        <v>11.1</v>
      </c>
      <c r="J184" s="12">
        <f>COUNTIF('Raw Data'!$G$2:$G$100001,'Draft Recap'!D184)</f>
        <v>3</v>
      </c>
      <c r="K184" s="12">
        <v>0</v>
      </c>
      <c r="L184" s="9">
        <f t="shared" si="18"/>
        <v>62.9</v>
      </c>
      <c r="M184" s="9">
        <f t="shared" si="16"/>
        <v>-28.1</v>
      </c>
      <c r="N184" s="12">
        <v>0</v>
      </c>
      <c r="O184" s="9">
        <f t="shared" si="17"/>
        <v>0</v>
      </c>
      <c r="P184" s="18"/>
    </row>
    <row r="185" spans="1:16" x14ac:dyDescent="0.2">
      <c r="A185" s="1">
        <v>14</v>
      </c>
      <c r="B185" s="1">
        <v>2</v>
      </c>
      <c r="C185" s="1">
        <v>184</v>
      </c>
      <c r="D185" s="1" t="s">
        <v>142</v>
      </c>
      <c r="E185" s="1" t="s">
        <v>563</v>
      </c>
      <c r="F185" s="1" t="s">
        <v>5</v>
      </c>
      <c r="G185" t="s">
        <v>256</v>
      </c>
      <c r="H185">
        <v>84</v>
      </c>
      <c r="I185" s="12">
        <v>13.8</v>
      </c>
      <c r="J185" s="12">
        <f>COUNTIF('Raw Data'!$G$2:$G$100001,'Draft Recap'!D185)</f>
        <v>3</v>
      </c>
      <c r="K185" s="12">
        <v>0</v>
      </c>
      <c r="L185" s="9">
        <f t="shared" si="18"/>
        <v>78.2</v>
      </c>
      <c r="M185" s="9">
        <f t="shared" si="16"/>
        <v>-5.7999999999999972</v>
      </c>
      <c r="N185" s="12">
        <v>0</v>
      </c>
      <c r="O185" s="9">
        <f t="shared" si="17"/>
        <v>0</v>
      </c>
      <c r="P185" s="18"/>
    </row>
    <row r="186" spans="1:16" x14ac:dyDescent="0.2">
      <c r="A186" s="1">
        <v>14</v>
      </c>
      <c r="B186" s="1">
        <v>3</v>
      </c>
      <c r="C186" s="1">
        <v>185</v>
      </c>
      <c r="D186" s="1" t="s">
        <v>227</v>
      </c>
      <c r="E186" s="1" t="s">
        <v>549</v>
      </c>
      <c r="F186" s="1" t="s">
        <v>12</v>
      </c>
      <c r="G186" t="s">
        <v>494</v>
      </c>
      <c r="H186">
        <v>72</v>
      </c>
      <c r="I186" s="12">
        <v>8</v>
      </c>
      <c r="J186" s="12">
        <f>COUNTIF('Raw Data'!$G$2:$G$100001,'Draft Recap'!D186)</f>
        <v>2</v>
      </c>
      <c r="K186" s="12">
        <v>0</v>
      </c>
      <c r="L186" s="9">
        <f t="shared" si="18"/>
        <v>45.333333333333329</v>
      </c>
      <c r="M186" s="9">
        <f t="shared" si="16"/>
        <v>-26.666666666666671</v>
      </c>
      <c r="N186" s="12">
        <v>0</v>
      </c>
      <c r="O186" s="9">
        <f t="shared" si="17"/>
        <v>0</v>
      </c>
      <c r="P186" s="18"/>
    </row>
    <row r="187" spans="1:16" x14ac:dyDescent="0.2">
      <c r="A187" s="1">
        <v>14</v>
      </c>
      <c r="B187" s="1">
        <v>4</v>
      </c>
      <c r="C187" s="1">
        <v>186</v>
      </c>
      <c r="D187" s="1" t="s">
        <v>346</v>
      </c>
      <c r="E187" s="1" t="s">
        <v>562</v>
      </c>
      <c r="F187" s="1" t="s">
        <v>6</v>
      </c>
      <c r="G187" t="s">
        <v>255</v>
      </c>
      <c r="H187">
        <v>75</v>
      </c>
      <c r="I187" s="12">
        <v>20.100000000000001</v>
      </c>
      <c r="J187" s="12">
        <f>COUNTIF('Raw Data'!$G$2:$G$100001,'Draft Recap'!D187)</f>
        <v>1</v>
      </c>
      <c r="K187" s="12">
        <v>0</v>
      </c>
      <c r="L187" s="9">
        <f t="shared" si="18"/>
        <v>113.9</v>
      </c>
      <c r="M187" s="9">
        <f t="shared" si="16"/>
        <v>38.900000000000006</v>
      </c>
      <c r="N187" s="12">
        <v>0</v>
      </c>
      <c r="O187" s="9">
        <f t="shared" si="17"/>
        <v>0</v>
      </c>
      <c r="P187" s="18"/>
    </row>
    <row r="188" spans="1:16" x14ac:dyDescent="0.2">
      <c r="A188" s="1">
        <v>14</v>
      </c>
      <c r="B188" s="1">
        <v>5</v>
      </c>
      <c r="C188" s="1">
        <v>187</v>
      </c>
      <c r="D188" s="1" t="s">
        <v>334</v>
      </c>
      <c r="E188" s="1" t="s">
        <v>564</v>
      </c>
      <c r="F188" s="1" t="s">
        <v>6</v>
      </c>
      <c r="G188" t="s">
        <v>499</v>
      </c>
      <c r="H188">
        <v>114</v>
      </c>
      <c r="I188" s="12">
        <v>10.9</v>
      </c>
      <c r="J188" s="12">
        <f>COUNTIF('Raw Data'!$G$2:$G$100001,'Draft Recap'!D188)</f>
        <v>3</v>
      </c>
      <c r="K188" s="12">
        <v>0</v>
      </c>
      <c r="L188" s="9">
        <f t="shared" si="18"/>
        <v>61.766666666666666</v>
      </c>
      <c r="M188" s="9">
        <f t="shared" si="16"/>
        <v>-52.233333333333334</v>
      </c>
      <c r="N188" s="12">
        <v>0</v>
      </c>
      <c r="O188" s="9">
        <f t="shared" si="17"/>
        <v>0</v>
      </c>
      <c r="P188" s="18"/>
    </row>
    <row r="189" spans="1:16" x14ac:dyDescent="0.2">
      <c r="A189" s="1">
        <v>14</v>
      </c>
      <c r="B189" s="1">
        <v>6</v>
      </c>
      <c r="C189" s="1">
        <v>188</v>
      </c>
      <c r="D189" s="1" t="s">
        <v>315</v>
      </c>
      <c r="E189" s="1" t="s">
        <v>567</v>
      </c>
      <c r="F189" s="1" t="s">
        <v>13</v>
      </c>
      <c r="G189" t="s">
        <v>469</v>
      </c>
      <c r="H189">
        <v>115</v>
      </c>
      <c r="I189" s="12">
        <v>20</v>
      </c>
      <c r="J189" s="12">
        <f>COUNTIF('Raw Data'!$G$2:$G$100001,'Draft Recap'!D189)</f>
        <v>2</v>
      </c>
      <c r="K189" s="12">
        <v>0</v>
      </c>
      <c r="L189" s="9">
        <f t="shared" si="18"/>
        <v>113.33333333333334</v>
      </c>
      <c r="M189" s="9">
        <f t="shared" si="16"/>
        <v>-1.6666666666666572</v>
      </c>
      <c r="N189" s="12">
        <v>0</v>
      </c>
      <c r="O189" s="9">
        <f t="shared" si="17"/>
        <v>0</v>
      </c>
      <c r="P189" s="18"/>
    </row>
    <row r="190" spans="1:16" x14ac:dyDescent="0.2">
      <c r="A190" s="1">
        <v>14</v>
      </c>
      <c r="B190" s="1">
        <v>7</v>
      </c>
      <c r="C190" s="1">
        <v>189</v>
      </c>
      <c r="D190" s="1" t="s">
        <v>30</v>
      </c>
      <c r="E190" s="1" t="s">
        <v>570</v>
      </c>
      <c r="F190" s="1" t="s">
        <v>12</v>
      </c>
      <c r="G190" t="s">
        <v>309</v>
      </c>
      <c r="H190">
        <v>72</v>
      </c>
      <c r="I190" s="12">
        <v>19</v>
      </c>
      <c r="J190" s="12">
        <f>COUNTIF('Raw Data'!$G$2:$G$100001,'Draft Recap'!D190)</f>
        <v>3</v>
      </c>
      <c r="K190" s="12">
        <v>0</v>
      </c>
      <c r="L190" s="9">
        <f t="shared" si="18"/>
        <v>107.66666666666666</v>
      </c>
      <c r="M190" s="9">
        <f t="shared" si="16"/>
        <v>35.666666666666657</v>
      </c>
      <c r="N190" s="12">
        <v>0</v>
      </c>
      <c r="O190" s="9">
        <f t="shared" si="17"/>
        <v>0</v>
      </c>
      <c r="P190" s="18"/>
    </row>
    <row r="191" spans="1:16" x14ac:dyDescent="0.2">
      <c r="A191" s="1">
        <v>14</v>
      </c>
      <c r="B191" s="1">
        <v>8</v>
      </c>
      <c r="C191" s="1">
        <v>190</v>
      </c>
      <c r="D191" s="1" t="s">
        <v>223</v>
      </c>
      <c r="E191" s="1" t="s">
        <v>549</v>
      </c>
      <c r="F191" s="1" t="s">
        <v>13</v>
      </c>
      <c r="G191" t="s">
        <v>308</v>
      </c>
      <c r="H191">
        <v>130</v>
      </c>
      <c r="I191" s="12">
        <v>21</v>
      </c>
      <c r="J191" s="12">
        <f>COUNTIF('Raw Data'!$G$2:$G$100001,'Draft Recap'!D191)</f>
        <v>2</v>
      </c>
      <c r="K191" s="12">
        <v>0</v>
      </c>
      <c r="L191" s="9">
        <f t="shared" ref="L191:L197" si="19">IF(I191=0,0,I191+I191/($Q$1-K191)*(18-$Q$1-1+K191))</f>
        <v>119</v>
      </c>
      <c r="M191" s="9">
        <f t="shared" si="16"/>
        <v>-11</v>
      </c>
      <c r="N191" s="12">
        <v>0</v>
      </c>
      <c r="O191" s="9">
        <f t="shared" si="17"/>
        <v>0</v>
      </c>
      <c r="P191" s="18"/>
    </row>
    <row r="192" spans="1:16" x14ac:dyDescent="0.2">
      <c r="A192" s="1">
        <v>14</v>
      </c>
      <c r="B192" s="1">
        <v>9</v>
      </c>
      <c r="C192" s="1">
        <v>191</v>
      </c>
      <c r="D192" s="1" t="s">
        <v>280</v>
      </c>
      <c r="E192" s="1" t="s">
        <v>576</v>
      </c>
      <c r="F192" s="1" t="s">
        <v>13</v>
      </c>
      <c r="G192" t="s">
        <v>545</v>
      </c>
      <c r="H192">
        <v>122</v>
      </c>
      <c r="I192" s="12">
        <v>26</v>
      </c>
      <c r="J192" s="12">
        <f>COUNTIF('Raw Data'!$G$2:$G$100001,'Draft Recap'!D192)</f>
        <v>3</v>
      </c>
      <c r="K192" s="12">
        <v>0</v>
      </c>
      <c r="L192" s="9">
        <f t="shared" si="19"/>
        <v>147.33333333333331</v>
      </c>
      <c r="M192" s="9">
        <f t="shared" si="16"/>
        <v>25.333333333333314</v>
      </c>
      <c r="N192" s="12">
        <v>0</v>
      </c>
      <c r="O192" s="9">
        <f t="shared" si="17"/>
        <v>0</v>
      </c>
      <c r="P192" s="18"/>
    </row>
    <row r="193" spans="1:16" x14ac:dyDescent="0.2">
      <c r="A193" s="1">
        <v>14</v>
      </c>
      <c r="B193" s="1">
        <v>10</v>
      </c>
      <c r="C193" s="1">
        <v>192</v>
      </c>
      <c r="D193" s="1" t="s">
        <v>473</v>
      </c>
      <c r="E193" s="1" t="s">
        <v>565</v>
      </c>
      <c r="F193" s="1" t="s">
        <v>6</v>
      </c>
      <c r="G193" t="s">
        <v>468</v>
      </c>
      <c r="H193">
        <v>44</v>
      </c>
      <c r="I193" s="12">
        <v>0</v>
      </c>
      <c r="J193" s="12">
        <f>COUNTIF('Raw Data'!$G$2:$G$100001,'Draft Recap'!D193)</f>
        <v>2</v>
      </c>
      <c r="K193" s="12">
        <v>0</v>
      </c>
      <c r="L193" s="9">
        <f t="shared" si="19"/>
        <v>0</v>
      </c>
      <c r="M193" s="9">
        <f t="shared" si="16"/>
        <v>-44</v>
      </c>
      <c r="N193" s="12">
        <v>0</v>
      </c>
      <c r="O193" s="9">
        <f t="shared" si="17"/>
        <v>0</v>
      </c>
      <c r="P193" s="18"/>
    </row>
    <row r="194" spans="1:16" x14ac:dyDescent="0.2">
      <c r="A194" s="1">
        <v>14</v>
      </c>
      <c r="B194" s="1">
        <v>11</v>
      </c>
      <c r="C194" s="1">
        <v>193</v>
      </c>
      <c r="D194" s="1" t="s">
        <v>242</v>
      </c>
      <c r="E194" s="1" t="s">
        <v>578</v>
      </c>
      <c r="F194" s="1" t="s">
        <v>13</v>
      </c>
      <c r="G194" t="s">
        <v>484</v>
      </c>
      <c r="H194">
        <v>121</v>
      </c>
      <c r="I194" s="12">
        <v>25</v>
      </c>
      <c r="J194" s="12">
        <f>COUNTIF('Raw Data'!$G$2:$G$100001,'Draft Recap'!D194)</f>
        <v>3</v>
      </c>
      <c r="K194" s="12">
        <v>0</v>
      </c>
      <c r="L194" s="9">
        <f t="shared" si="19"/>
        <v>141.66666666666669</v>
      </c>
      <c r="M194" s="9">
        <f t="shared" ref="M194:M197" si="20">L194-H194</f>
        <v>20.666666666666686</v>
      </c>
      <c r="N194" s="12">
        <v>0</v>
      </c>
      <c r="O194" s="9">
        <f t="shared" ref="O194:O197" si="21">N194*(MAX($A$2:$A$211)-A194+1)/4</f>
        <v>0</v>
      </c>
      <c r="P194" s="18"/>
    </row>
    <row r="195" spans="1:16" x14ac:dyDescent="0.2">
      <c r="A195" s="1">
        <v>14</v>
      </c>
      <c r="B195" s="1">
        <v>12</v>
      </c>
      <c r="C195" s="1">
        <v>194</v>
      </c>
      <c r="D195" s="1" t="s">
        <v>14</v>
      </c>
      <c r="E195" s="1" t="s">
        <v>565</v>
      </c>
      <c r="F195" s="1" t="s">
        <v>13</v>
      </c>
      <c r="G195" t="s">
        <v>463</v>
      </c>
      <c r="H195">
        <v>132</v>
      </c>
      <c r="I195" s="12">
        <v>28</v>
      </c>
      <c r="J195" s="12">
        <f>COUNTIF('Raw Data'!$G$2:$G$100001,'Draft Recap'!D195)</f>
        <v>3</v>
      </c>
      <c r="K195" s="12">
        <v>0</v>
      </c>
      <c r="L195" s="9">
        <f t="shared" si="19"/>
        <v>158.66666666666669</v>
      </c>
      <c r="M195" s="9">
        <f t="shared" si="20"/>
        <v>26.666666666666686</v>
      </c>
      <c r="N195" s="12">
        <v>0</v>
      </c>
      <c r="O195" s="9">
        <f t="shared" si="21"/>
        <v>0</v>
      </c>
      <c r="P195" s="18"/>
    </row>
    <row r="196" spans="1:16" x14ac:dyDescent="0.2">
      <c r="A196" s="1">
        <v>14</v>
      </c>
      <c r="B196" s="1">
        <v>13</v>
      </c>
      <c r="C196" s="1">
        <v>195</v>
      </c>
      <c r="D196" s="1" t="s">
        <v>302</v>
      </c>
      <c r="E196" s="1" t="s">
        <v>574</v>
      </c>
      <c r="F196" s="1" t="s">
        <v>9</v>
      </c>
      <c r="G196" t="s">
        <v>483</v>
      </c>
      <c r="H196">
        <v>93</v>
      </c>
      <c r="I196" s="12">
        <v>28.2</v>
      </c>
      <c r="J196" s="12">
        <f>COUNTIF('Raw Data'!$G$2:$G$100001,'Draft Recap'!D196)</f>
        <v>3</v>
      </c>
      <c r="K196" s="12">
        <v>0</v>
      </c>
      <c r="L196" s="9">
        <f t="shared" si="19"/>
        <v>159.79999999999998</v>
      </c>
      <c r="M196" s="9">
        <f t="shared" si="20"/>
        <v>66.799999999999983</v>
      </c>
      <c r="N196" s="12">
        <v>0</v>
      </c>
      <c r="O196" s="9">
        <f t="shared" si="21"/>
        <v>0</v>
      </c>
      <c r="P196" s="18"/>
    </row>
    <row r="197" spans="1:16" x14ac:dyDescent="0.2">
      <c r="A197" s="1">
        <v>14</v>
      </c>
      <c r="B197" s="1">
        <v>14</v>
      </c>
      <c r="C197" s="1">
        <v>196</v>
      </c>
      <c r="D197" s="1" t="s">
        <v>154</v>
      </c>
      <c r="E197" s="1" t="s">
        <v>554</v>
      </c>
      <c r="F197" s="1" t="s">
        <v>4</v>
      </c>
      <c r="G197" t="s">
        <v>478</v>
      </c>
      <c r="H197">
        <v>266</v>
      </c>
      <c r="I197" s="12">
        <v>28.34</v>
      </c>
      <c r="J197" s="12">
        <f>COUNTIF('Raw Data'!$G$2:$G$100001,'Draft Recap'!D197)</f>
        <v>2</v>
      </c>
      <c r="K197" s="12">
        <v>0</v>
      </c>
      <c r="L197" s="9">
        <f t="shared" si="19"/>
        <v>160.59333333333333</v>
      </c>
      <c r="M197" s="9">
        <f t="shared" si="20"/>
        <v>-105.40666666666667</v>
      </c>
      <c r="N197" s="12">
        <v>0</v>
      </c>
      <c r="O197" s="9">
        <f t="shared" si="21"/>
        <v>0</v>
      </c>
      <c r="P197" s="18"/>
    </row>
    <row r="198" spans="1:16" x14ac:dyDescent="0.2">
      <c r="I198" s="12"/>
      <c r="J198" s="12"/>
      <c r="K198" s="12"/>
      <c r="L198" s="9"/>
      <c r="M198" s="9"/>
      <c r="N198" s="12"/>
      <c r="O198" s="9"/>
      <c r="P198" s="18"/>
    </row>
    <row r="199" spans="1:16" x14ac:dyDescent="0.2">
      <c r="I199" s="12"/>
      <c r="J199" s="12"/>
      <c r="K199" s="12"/>
      <c r="L199" s="9"/>
      <c r="M199" s="9"/>
      <c r="N199" s="12"/>
      <c r="O199" s="9"/>
      <c r="P199" s="18"/>
    </row>
    <row r="200" spans="1:16" x14ac:dyDescent="0.2">
      <c r="I200" s="12"/>
      <c r="J200" s="12"/>
      <c r="K200" s="12"/>
      <c r="L200" s="9"/>
      <c r="M200" s="9"/>
      <c r="N200" s="12"/>
      <c r="O200" s="9"/>
      <c r="P200" s="18"/>
    </row>
    <row r="201" spans="1:16" x14ac:dyDescent="0.2">
      <c r="I201" s="12"/>
      <c r="J201" s="12"/>
      <c r="K201" s="12"/>
      <c r="L201" s="9"/>
      <c r="M201" s="9"/>
      <c r="N201" s="12"/>
      <c r="O201" s="9"/>
      <c r="P201" s="18"/>
    </row>
    <row r="202" spans="1:16" x14ac:dyDescent="0.2">
      <c r="I202" s="12"/>
      <c r="J202" s="12"/>
      <c r="K202" s="12"/>
      <c r="L202" s="9"/>
      <c r="M202" s="9"/>
      <c r="N202" s="12"/>
      <c r="O202" s="9"/>
      <c r="P202" s="18"/>
    </row>
    <row r="203" spans="1:16" x14ac:dyDescent="0.2">
      <c r="I203" s="12"/>
      <c r="J203" s="12"/>
      <c r="K203" s="12"/>
      <c r="L203" s="9"/>
      <c r="M203" s="9"/>
      <c r="N203" s="12"/>
      <c r="O203" s="9"/>
      <c r="P203" s="18"/>
    </row>
    <row r="204" spans="1:16" x14ac:dyDescent="0.2">
      <c r="I204" s="12"/>
      <c r="J204" s="12"/>
      <c r="K204" s="12"/>
      <c r="L204" s="9"/>
      <c r="M204" s="9"/>
      <c r="N204" s="12"/>
      <c r="O204" s="9"/>
      <c r="P204" s="18"/>
    </row>
    <row r="205" spans="1:16" x14ac:dyDescent="0.2">
      <c r="I205" s="12"/>
      <c r="J205" s="12"/>
      <c r="K205" s="12"/>
      <c r="L205" s="9"/>
      <c r="M205" s="9"/>
      <c r="N205" s="12"/>
      <c r="O205" s="9"/>
      <c r="P205" s="18"/>
    </row>
    <row r="206" spans="1:16" x14ac:dyDescent="0.2">
      <c r="I206" s="12"/>
      <c r="J206" s="12"/>
      <c r="K206" s="12"/>
      <c r="L206" s="9"/>
      <c r="M206" s="9"/>
      <c r="N206" s="12"/>
      <c r="O206" s="9"/>
      <c r="P206" s="18"/>
    </row>
    <row r="207" spans="1:16" x14ac:dyDescent="0.2">
      <c r="I207" s="12"/>
      <c r="J207" s="12"/>
      <c r="K207" s="12"/>
      <c r="L207" s="9"/>
      <c r="M207" s="9"/>
      <c r="N207" s="12"/>
      <c r="O207" s="9"/>
      <c r="P207" s="18"/>
    </row>
    <row r="208" spans="1:16" x14ac:dyDescent="0.2">
      <c r="I208" s="12"/>
      <c r="J208" s="12"/>
      <c r="K208" s="12"/>
      <c r="L208" s="9"/>
      <c r="M208" s="9"/>
      <c r="N208" s="12"/>
      <c r="O208" s="9"/>
      <c r="P208" s="18"/>
    </row>
    <row r="209" spans="9:16" x14ac:dyDescent="0.2">
      <c r="I209" s="12"/>
      <c r="J209" s="12"/>
      <c r="K209" s="12"/>
      <c r="L209" s="9"/>
      <c r="M209" s="9"/>
      <c r="N209" s="12"/>
      <c r="O209" s="9"/>
      <c r="P209" s="18"/>
    </row>
    <row r="210" spans="9:16" x14ac:dyDescent="0.2">
      <c r="I210" s="12"/>
      <c r="J210" s="12"/>
      <c r="K210" s="12"/>
      <c r="L210" s="9"/>
      <c r="M210" s="9"/>
      <c r="N210" s="12"/>
      <c r="O210" s="9"/>
      <c r="P210" s="18"/>
    </row>
    <row r="211" spans="9:16" x14ac:dyDescent="0.2">
      <c r="I211" s="12"/>
      <c r="J211" s="12"/>
      <c r="K211" s="12"/>
      <c r="L211" s="9"/>
      <c r="M211" s="9"/>
      <c r="N211" s="12"/>
      <c r="O211" s="9"/>
      <c r="P211" s="18"/>
    </row>
    <row r="212" spans="9:16" x14ac:dyDescent="0.2">
      <c r="I212" s="12"/>
      <c r="J212" s="12"/>
      <c r="K212" s="12"/>
      <c r="L212" s="9"/>
      <c r="M212" s="9"/>
      <c r="N212" s="12"/>
    </row>
    <row r="213" spans="9:16" x14ac:dyDescent="0.2">
      <c r="I213" s="12"/>
      <c r="J213" s="12"/>
      <c r="K213" s="12"/>
      <c r="L213" s="9"/>
      <c r="M213" s="9"/>
      <c r="N213" s="12"/>
    </row>
    <row r="214" spans="9:16" x14ac:dyDescent="0.2">
      <c r="I214" s="12"/>
      <c r="J214" s="12"/>
      <c r="K214" s="12"/>
      <c r="N214" s="12"/>
    </row>
    <row r="215" spans="9:16" x14ac:dyDescent="0.2">
      <c r="I215" s="12"/>
      <c r="J215" s="12"/>
      <c r="K215" s="12"/>
      <c r="N215" s="12"/>
    </row>
    <row r="216" spans="9:16" x14ac:dyDescent="0.2">
      <c r="I216" s="12"/>
      <c r="J216" s="12"/>
      <c r="K216" s="12"/>
      <c r="N216" s="12"/>
    </row>
    <row r="217" spans="9:16" x14ac:dyDescent="0.2">
      <c r="I217" s="12"/>
      <c r="J217" s="12"/>
      <c r="K217" s="12"/>
      <c r="N217" s="12"/>
    </row>
    <row r="218" spans="9:16" x14ac:dyDescent="0.2">
      <c r="I218" s="12"/>
      <c r="J218" s="12"/>
      <c r="K218" s="12"/>
      <c r="N218" s="12"/>
    </row>
    <row r="219" spans="9:16" x14ac:dyDescent="0.2">
      <c r="I219" s="12"/>
      <c r="J219" s="12"/>
      <c r="K219" s="12"/>
      <c r="N219" s="12"/>
    </row>
    <row r="220" spans="9:16" x14ac:dyDescent="0.2">
      <c r="I220" s="12"/>
      <c r="J220" s="12"/>
      <c r="K220" s="12"/>
      <c r="N220" s="12"/>
    </row>
    <row r="221" spans="9:16" x14ac:dyDescent="0.2">
      <c r="I221" s="12"/>
      <c r="J221" s="12"/>
      <c r="K221" s="12"/>
      <c r="N221" s="12"/>
    </row>
    <row r="222" spans="9:16" x14ac:dyDescent="0.2">
      <c r="I222" s="12"/>
      <c r="J222" s="12"/>
      <c r="K222" s="12"/>
      <c r="N222" s="12"/>
    </row>
    <row r="223" spans="9:16" x14ac:dyDescent="0.2">
      <c r="I223" s="12"/>
      <c r="J223" s="12"/>
      <c r="K223" s="12"/>
      <c r="N223" s="12"/>
    </row>
    <row r="224" spans="9:16" x14ac:dyDescent="0.2">
      <c r="I224" s="12"/>
      <c r="J224" s="12"/>
      <c r="K224" s="12"/>
      <c r="N224" s="12"/>
    </row>
    <row r="225" spans="9:14" x14ac:dyDescent="0.2">
      <c r="I225" s="12"/>
      <c r="J225" s="12"/>
      <c r="K225" s="12"/>
      <c r="N225" s="12"/>
    </row>
    <row r="226" spans="9:14" x14ac:dyDescent="0.2">
      <c r="I226" s="12"/>
      <c r="J226" s="12"/>
      <c r="K226" s="12"/>
      <c r="N226" s="12"/>
    </row>
    <row r="227" spans="9:14" x14ac:dyDescent="0.2">
      <c r="I227" s="12"/>
      <c r="J227" s="12"/>
      <c r="K227" s="12"/>
      <c r="N227" s="12"/>
    </row>
    <row r="228" spans="9:14" x14ac:dyDescent="0.2">
      <c r="I228" s="12"/>
      <c r="J228" s="12"/>
      <c r="K228" s="12"/>
      <c r="N228" s="12"/>
    </row>
    <row r="229" spans="9:14" x14ac:dyDescent="0.2">
      <c r="I229" s="12"/>
      <c r="J229" s="12"/>
      <c r="K229" s="12"/>
      <c r="N229" s="12"/>
    </row>
    <row r="230" spans="9:14" x14ac:dyDescent="0.2">
      <c r="I230" s="12"/>
      <c r="J230" s="12"/>
      <c r="K230" s="12"/>
      <c r="N230" s="12"/>
    </row>
    <row r="231" spans="9:14" x14ac:dyDescent="0.2">
      <c r="I231" s="12"/>
      <c r="J231" s="12"/>
      <c r="K231" s="12"/>
      <c r="N231" s="12"/>
    </row>
    <row r="232" spans="9:14" x14ac:dyDescent="0.2">
      <c r="I232" s="12"/>
      <c r="J232" s="12"/>
      <c r="K232" s="12"/>
      <c r="N232" s="12"/>
    </row>
    <row r="233" spans="9:14" x14ac:dyDescent="0.2">
      <c r="I233" s="12"/>
      <c r="J233" s="12"/>
      <c r="K233" s="12"/>
      <c r="N233" s="12"/>
    </row>
    <row r="234" spans="9:14" x14ac:dyDescent="0.2">
      <c r="I234" s="12"/>
      <c r="J234" s="12"/>
      <c r="K234" s="12"/>
      <c r="N234" s="12"/>
    </row>
    <row r="235" spans="9:14" x14ac:dyDescent="0.2">
      <c r="I235" s="12"/>
      <c r="J235" s="12"/>
      <c r="K235" s="12"/>
      <c r="N235" s="12"/>
    </row>
    <row r="236" spans="9:14" x14ac:dyDescent="0.2">
      <c r="I236" s="12"/>
      <c r="J236" s="12"/>
      <c r="K236" s="12"/>
      <c r="N236" s="12"/>
    </row>
    <row r="237" spans="9:14" x14ac:dyDescent="0.2">
      <c r="I237" s="12"/>
      <c r="J237" s="12"/>
      <c r="K237" s="12"/>
      <c r="N237" s="12"/>
    </row>
    <row r="238" spans="9:14" x14ac:dyDescent="0.2">
      <c r="I238" s="12"/>
      <c r="J238" s="12"/>
      <c r="K238" s="12"/>
      <c r="N238" s="12"/>
    </row>
    <row r="239" spans="9:14" x14ac:dyDescent="0.2">
      <c r="I239" s="12"/>
      <c r="J239" s="12"/>
      <c r="K239" s="12"/>
      <c r="N239" s="12"/>
    </row>
    <row r="240" spans="9:14" x14ac:dyDescent="0.2">
      <c r="I240" s="12"/>
      <c r="J240" s="12"/>
      <c r="K240" s="12"/>
      <c r="N240" s="12"/>
    </row>
    <row r="241" spans="9:14" x14ac:dyDescent="0.2">
      <c r="I241" s="12"/>
      <c r="J241" s="12"/>
      <c r="K241" s="12"/>
      <c r="N241" s="12"/>
    </row>
    <row r="242" spans="9:14" x14ac:dyDescent="0.2">
      <c r="I242" s="12"/>
      <c r="J242" s="12"/>
      <c r="K242" s="12"/>
      <c r="N242" s="12"/>
    </row>
    <row r="243" spans="9:14" x14ac:dyDescent="0.2">
      <c r="I243" s="12"/>
      <c r="J243" s="12"/>
      <c r="K243" s="12"/>
      <c r="N243" s="12"/>
    </row>
    <row r="244" spans="9:14" x14ac:dyDescent="0.2">
      <c r="I244" s="12"/>
      <c r="J244" s="12"/>
      <c r="K244" s="12"/>
      <c r="N244" s="12"/>
    </row>
    <row r="245" spans="9:14" x14ac:dyDescent="0.2">
      <c r="I245" s="12"/>
      <c r="J245" s="12"/>
      <c r="K245" s="12"/>
      <c r="N245" s="12"/>
    </row>
    <row r="246" spans="9:14" x14ac:dyDescent="0.2">
      <c r="I246" s="12"/>
      <c r="J246" s="12"/>
      <c r="K246" s="12"/>
      <c r="N246" s="12"/>
    </row>
    <row r="247" spans="9:14" x14ac:dyDescent="0.2">
      <c r="I247" s="12"/>
      <c r="J247" s="12"/>
      <c r="K247" s="12"/>
      <c r="N247" s="12"/>
    </row>
    <row r="248" spans="9:14" x14ac:dyDescent="0.2">
      <c r="I248" s="12"/>
      <c r="J248" s="12"/>
      <c r="K248" s="12"/>
      <c r="N248" s="12"/>
    </row>
    <row r="249" spans="9:14" x14ac:dyDescent="0.2">
      <c r="I249" s="12"/>
      <c r="J249" s="12"/>
      <c r="K249" s="12"/>
      <c r="N249" s="12"/>
    </row>
    <row r="250" spans="9:14" x14ac:dyDescent="0.2">
      <c r="I250" s="12"/>
      <c r="J250" s="12"/>
      <c r="K250" s="12"/>
      <c r="N250" s="12"/>
    </row>
    <row r="251" spans="9:14" x14ac:dyDescent="0.2">
      <c r="I251" s="12"/>
      <c r="J251" s="12"/>
      <c r="K251" s="12"/>
      <c r="N251" s="12"/>
    </row>
    <row r="252" spans="9:14" x14ac:dyDescent="0.2">
      <c r="I252" s="12"/>
      <c r="J252" s="12"/>
      <c r="K252" s="12"/>
      <c r="N252" s="12"/>
    </row>
    <row r="253" spans="9:14" x14ac:dyDescent="0.2">
      <c r="I253" s="12"/>
      <c r="J253" s="12"/>
      <c r="K253" s="12"/>
      <c r="N253" s="12"/>
    </row>
    <row r="254" spans="9:14" x14ac:dyDescent="0.2">
      <c r="I254" s="12"/>
      <c r="J254" s="12"/>
      <c r="K254" s="12"/>
      <c r="N254" s="12"/>
    </row>
    <row r="255" spans="9:14" x14ac:dyDescent="0.2">
      <c r="I255" s="12"/>
      <c r="J255" s="12"/>
      <c r="K255" s="12"/>
      <c r="N255" s="12"/>
    </row>
    <row r="256" spans="9:14" x14ac:dyDescent="0.2">
      <c r="I256" s="12"/>
      <c r="J256" s="12"/>
      <c r="K256" s="12"/>
      <c r="N256" s="12"/>
    </row>
    <row r="257" spans="9:14" x14ac:dyDescent="0.2">
      <c r="I257" s="12"/>
      <c r="J257" s="12"/>
      <c r="K257" s="12"/>
      <c r="N257" s="12"/>
    </row>
    <row r="258" spans="9:14" x14ac:dyDescent="0.2">
      <c r="I258" s="12"/>
      <c r="J258" s="12"/>
      <c r="K258" s="12"/>
      <c r="N258" s="12"/>
    </row>
    <row r="259" spans="9:14" x14ac:dyDescent="0.2">
      <c r="I259" s="12"/>
      <c r="J259" s="12"/>
      <c r="K259" s="12"/>
      <c r="N259" s="12"/>
    </row>
    <row r="260" spans="9:14" x14ac:dyDescent="0.2">
      <c r="I260" s="12"/>
      <c r="J260" s="12"/>
      <c r="K260" s="12"/>
      <c r="N260" s="12"/>
    </row>
    <row r="261" spans="9:14" x14ac:dyDescent="0.2">
      <c r="I261" s="12"/>
      <c r="J261" s="12"/>
      <c r="K261" s="12"/>
      <c r="N261" s="12"/>
    </row>
    <row r="262" spans="9:14" x14ac:dyDescent="0.2">
      <c r="I262" s="12"/>
      <c r="J262" s="12"/>
      <c r="K262" s="12"/>
      <c r="N262" s="12"/>
    </row>
    <row r="263" spans="9:14" x14ac:dyDescent="0.2">
      <c r="I263" s="12"/>
      <c r="J263" s="12"/>
      <c r="K263" s="12"/>
      <c r="N263" s="12"/>
    </row>
    <row r="264" spans="9:14" x14ac:dyDescent="0.2">
      <c r="I264" s="12"/>
      <c r="J264" s="12"/>
      <c r="K264" s="12"/>
      <c r="N264" s="12"/>
    </row>
    <row r="265" spans="9:14" x14ac:dyDescent="0.2">
      <c r="I265" s="12"/>
      <c r="J265" s="12"/>
      <c r="K265" s="12"/>
      <c r="N265" s="12"/>
    </row>
    <row r="266" spans="9:14" x14ac:dyDescent="0.2">
      <c r="I266" s="12"/>
      <c r="J266" s="12"/>
      <c r="K266" s="12"/>
      <c r="N266" s="12"/>
    </row>
    <row r="267" spans="9:14" x14ac:dyDescent="0.2">
      <c r="I267" s="12"/>
      <c r="J267" s="12"/>
      <c r="K267" s="12"/>
      <c r="N267" s="12"/>
    </row>
    <row r="268" spans="9:14" x14ac:dyDescent="0.2">
      <c r="I268" s="12"/>
      <c r="J268" s="12"/>
      <c r="K268" s="12"/>
      <c r="N268" s="12"/>
    </row>
    <row r="269" spans="9:14" x14ac:dyDescent="0.2">
      <c r="I269" s="12"/>
      <c r="J269" s="12"/>
      <c r="K269" s="12"/>
      <c r="N269" s="12"/>
    </row>
    <row r="270" spans="9:14" x14ac:dyDescent="0.2">
      <c r="I270" s="12"/>
      <c r="J270" s="12"/>
      <c r="K270" s="12"/>
      <c r="N270" s="12"/>
    </row>
    <row r="271" spans="9:14" x14ac:dyDescent="0.2">
      <c r="I271" s="12"/>
      <c r="J271" s="12"/>
      <c r="K271" s="12"/>
      <c r="N271" s="12"/>
    </row>
    <row r="272" spans="9:14" x14ac:dyDescent="0.2">
      <c r="I272" s="12"/>
      <c r="J272" s="12"/>
      <c r="K272" s="12"/>
      <c r="N272" s="12"/>
    </row>
    <row r="273" spans="9:14" x14ac:dyDescent="0.2">
      <c r="I273" s="12"/>
      <c r="J273" s="12"/>
      <c r="K273" s="12"/>
      <c r="N273" s="12"/>
    </row>
    <row r="274" spans="9:14" x14ac:dyDescent="0.2">
      <c r="I274" s="12"/>
      <c r="J274" s="12"/>
      <c r="K274" s="12"/>
      <c r="N274" s="12"/>
    </row>
    <row r="275" spans="9:14" x14ac:dyDescent="0.2">
      <c r="I275" s="12"/>
      <c r="J275" s="12"/>
      <c r="K275" s="12"/>
      <c r="N275" s="12"/>
    </row>
    <row r="276" spans="9:14" x14ac:dyDescent="0.2">
      <c r="I276" s="12"/>
      <c r="J276" s="12"/>
      <c r="K276" s="12"/>
      <c r="N276" s="12"/>
    </row>
    <row r="277" spans="9:14" x14ac:dyDescent="0.2">
      <c r="I277" s="12"/>
      <c r="J277" s="12"/>
      <c r="K277" s="12"/>
      <c r="N277" s="12"/>
    </row>
    <row r="278" spans="9:14" x14ac:dyDescent="0.2">
      <c r="I278" s="12"/>
      <c r="J278" s="12"/>
      <c r="K278" s="12"/>
      <c r="N278" s="12"/>
    </row>
    <row r="279" spans="9:14" x14ac:dyDescent="0.2">
      <c r="I279" s="12"/>
      <c r="J279" s="12"/>
      <c r="K279" s="12"/>
      <c r="N279" s="12"/>
    </row>
    <row r="280" spans="9:14" x14ac:dyDescent="0.2">
      <c r="I280" s="12"/>
      <c r="J280" s="12"/>
      <c r="K280" s="12"/>
      <c r="N280" s="12"/>
    </row>
    <row r="281" spans="9:14" x14ac:dyDescent="0.2">
      <c r="I281" s="12"/>
      <c r="J281" s="12"/>
      <c r="K281" s="12"/>
      <c r="N281" s="12"/>
    </row>
    <row r="282" spans="9:14" x14ac:dyDescent="0.2">
      <c r="I282" s="12"/>
      <c r="J282" s="12"/>
      <c r="K282" s="12"/>
      <c r="N282" s="12"/>
    </row>
    <row r="283" spans="9:14" x14ac:dyDescent="0.2">
      <c r="I283" s="12"/>
      <c r="J283" s="12"/>
      <c r="K283" s="12"/>
      <c r="N283" s="12"/>
    </row>
    <row r="284" spans="9:14" x14ac:dyDescent="0.2">
      <c r="I284" s="12"/>
      <c r="J284" s="12"/>
      <c r="K284" s="12"/>
      <c r="N284" s="12"/>
    </row>
    <row r="285" spans="9:14" x14ac:dyDescent="0.2">
      <c r="I285" s="12"/>
      <c r="J285" s="12"/>
      <c r="K285" s="12"/>
      <c r="N285" s="12"/>
    </row>
    <row r="286" spans="9:14" x14ac:dyDescent="0.2">
      <c r="I286" s="12"/>
      <c r="J286" s="12"/>
      <c r="K286" s="12"/>
      <c r="N286" s="12"/>
    </row>
    <row r="287" spans="9:14" x14ac:dyDescent="0.2">
      <c r="I287" s="12"/>
      <c r="J287" s="12"/>
      <c r="K287" s="12"/>
      <c r="N287" s="12"/>
    </row>
    <row r="288" spans="9:14" x14ac:dyDescent="0.2">
      <c r="I288" s="12"/>
      <c r="J288" s="12"/>
      <c r="K288" s="12"/>
      <c r="N288" s="12"/>
    </row>
    <row r="289" spans="9:14" x14ac:dyDescent="0.2">
      <c r="I289" s="12"/>
      <c r="J289" s="12"/>
      <c r="K289" s="12"/>
      <c r="N289" s="12"/>
    </row>
    <row r="290" spans="9:14" x14ac:dyDescent="0.2">
      <c r="I290" s="12"/>
      <c r="J290" s="12"/>
      <c r="K290" s="12"/>
      <c r="N290" s="12"/>
    </row>
    <row r="291" spans="9:14" x14ac:dyDescent="0.2">
      <c r="I291" s="12"/>
      <c r="J291" s="12"/>
      <c r="K291" s="12"/>
      <c r="N291" s="12"/>
    </row>
    <row r="292" spans="9:14" x14ac:dyDescent="0.2">
      <c r="I292" s="12"/>
      <c r="J292" s="12"/>
      <c r="K292" s="12"/>
      <c r="N292" s="12"/>
    </row>
    <row r="293" spans="9:14" x14ac:dyDescent="0.2">
      <c r="I293" s="12"/>
      <c r="J293" s="12"/>
      <c r="K293" s="12"/>
      <c r="N293" s="12"/>
    </row>
    <row r="294" spans="9:14" x14ac:dyDescent="0.2">
      <c r="I294" s="12"/>
      <c r="J294" s="12"/>
      <c r="K294" s="12"/>
      <c r="N294" s="12"/>
    </row>
    <row r="295" spans="9:14" x14ac:dyDescent="0.2">
      <c r="I295" s="12"/>
      <c r="J295" s="12"/>
      <c r="K295" s="12"/>
      <c r="N295" s="12"/>
    </row>
    <row r="296" spans="9:14" x14ac:dyDescent="0.2">
      <c r="I296" s="12"/>
      <c r="J296" s="12"/>
      <c r="K296" s="12"/>
      <c r="N296" s="12"/>
    </row>
    <row r="297" spans="9:14" x14ac:dyDescent="0.2">
      <c r="I297" s="12"/>
      <c r="J297" s="12"/>
      <c r="K297" s="12"/>
      <c r="N297" s="12"/>
    </row>
    <row r="298" spans="9:14" x14ac:dyDescent="0.2">
      <c r="I298" s="12"/>
      <c r="J298" s="12"/>
      <c r="K298" s="12"/>
      <c r="N298" s="12"/>
    </row>
    <row r="299" spans="9:14" x14ac:dyDescent="0.2">
      <c r="I299" s="12"/>
      <c r="J299" s="12"/>
      <c r="K299" s="12"/>
      <c r="N299" s="12"/>
    </row>
    <row r="300" spans="9:14" x14ac:dyDescent="0.2">
      <c r="I300" s="12"/>
      <c r="J300" s="12"/>
      <c r="K300" s="12"/>
      <c r="N300" s="12"/>
    </row>
    <row r="301" spans="9:14" x14ac:dyDescent="0.2">
      <c r="I301" s="12"/>
      <c r="J301" s="12"/>
      <c r="K301" s="12"/>
      <c r="N301" s="12"/>
    </row>
    <row r="302" spans="9:14" x14ac:dyDescent="0.2">
      <c r="I302" s="12"/>
      <c r="J302" s="12"/>
      <c r="K302" s="12"/>
      <c r="N302" s="12"/>
    </row>
    <row r="303" spans="9:14" x14ac:dyDescent="0.2">
      <c r="I303" s="12"/>
      <c r="J303" s="12"/>
      <c r="K303" s="12"/>
      <c r="N303" s="12"/>
    </row>
    <row r="304" spans="9:14" x14ac:dyDescent="0.2">
      <c r="I304" s="12"/>
      <c r="J304" s="12"/>
      <c r="K304" s="12"/>
      <c r="N304" s="12"/>
    </row>
    <row r="305" spans="9:14" x14ac:dyDescent="0.2">
      <c r="I305" s="12"/>
      <c r="J305" s="12"/>
      <c r="K305" s="12"/>
      <c r="N305" s="12"/>
    </row>
    <row r="306" spans="9:14" x14ac:dyDescent="0.2">
      <c r="I306" s="12"/>
      <c r="J306" s="12"/>
      <c r="K306" s="12"/>
      <c r="N306" s="12"/>
    </row>
    <row r="307" spans="9:14" x14ac:dyDescent="0.2">
      <c r="I307" s="12"/>
      <c r="J307" s="12"/>
      <c r="K307" s="12"/>
      <c r="N307" s="12"/>
    </row>
    <row r="308" spans="9:14" x14ac:dyDescent="0.2">
      <c r="I308" s="12"/>
      <c r="J308" s="12"/>
      <c r="K308" s="12"/>
      <c r="N308" s="12"/>
    </row>
    <row r="309" spans="9:14" x14ac:dyDescent="0.2">
      <c r="I309" s="12"/>
      <c r="J309" s="12"/>
      <c r="K309" s="12"/>
      <c r="N309" s="12"/>
    </row>
    <row r="310" spans="9:14" x14ac:dyDescent="0.2">
      <c r="I310" s="12"/>
      <c r="J310" s="12"/>
      <c r="K310" s="12"/>
      <c r="N310" s="12"/>
    </row>
    <row r="311" spans="9:14" x14ac:dyDescent="0.2">
      <c r="I311" s="12"/>
      <c r="J311" s="12"/>
      <c r="K311" s="12"/>
      <c r="N311" s="12"/>
    </row>
    <row r="312" spans="9:14" x14ac:dyDescent="0.2">
      <c r="I312" s="12"/>
      <c r="J312" s="12"/>
      <c r="K312" s="12"/>
      <c r="N312" s="12"/>
    </row>
    <row r="313" spans="9:14" x14ac:dyDescent="0.2">
      <c r="I313" s="12"/>
      <c r="J313" s="12"/>
      <c r="K313" s="12"/>
      <c r="N313" s="12"/>
    </row>
    <row r="314" spans="9:14" x14ac:dyDescent="0.2">
      <c r="I314" s="12"/>
      <c r="J314" s="12"/>
      <c r="K314" s="12"/>
      <c r="N314" s="12"/>
    </row>
    <row r="315" spans="9:14" x14ac:dyDescent="0.2">
      <c r="I315" s="12"/>
      <c r="J315" s="12"/>
      <c r="K315" s="12"/>
      <c r="N315" s="12"/>
    </row>
    <row r="316" spans="9:14" x14ac:dyDescent="0.2">
      <c r="I316" s="12"/>
      <c r="J316" s="12"/>
      <c r="K316" s="12"/>
      <c r="N316" s="12"/>
    </row>
    <row r="317" spans="9:14" x14ac:dyDescent="0.2">
      <c r="I317" s="12"/>
      <c r="J317" s="12"/>
      <c r="K317" s="12"/>
      <c r="N317" s="12"/>
    </row>
    <row r="318" spans="9:14" x14ac:dyDescent="0.2">
      <c r="I318" s="12"/>
      <c r="J318" s="12"/>
      <c r="K318" s="12"/>
      <c r="N318" s="12"/>
    </row>
    <row r="319" spans="9:14" x14ac:dyDescent="0.2">
      <c r="I319" s="12"/>
      <c r="J319" s="12"/>
      <c r="K319" s="12"/>
      <c r="N319" s="12"/>
    </row>
    <row r="320" spans="9:14" x14ac:dyDescent="0.2">
      <c r="I320" s="12"/>
      <c r="J320" s="12"/>
      <c r="K320" s="12"/>
      <c r="N320" s="12"/>
    </row>
    <row r="321" spans="9:14" x14ac:dyDescent="0.2">
      <c r="I321" s="12"/>
      <c r="J321" s="12"/>
      <c r="K321" s="12"/>
      <c r="N321" s="12"/>
    </row>
    <row r="322" spans="9:14" x14ac:dyDescent="0.2">
      <c r="I322" s="12"/>
      <c r="J322" s="12"/>
      <c r="K322" s="12"/>
      <c r="N322" s="12"/>
    </row>
    <row r="323" spans="9:14" x14ac:dyDescent="0.2">
      <c r="I323" s="12"/>
      <c r="J323" s="12"/>
      <c r="K323" s="12"/>
      <c r="N323" s="12"/>
    </row>
    <row r="324" spans="9:14" x14ac:dyDescent="0.2">
      <c r="I324" s="12"/>
      <c r="J324" s="12"/>
      <c r="K324" s="12"/>
      <c r="N324" s="12"/>
    </row>
    <row r="325" spans="9:14" x14ac:dyDescent="0.2">
      <c r="I325" s="12"/>
      <c r="J325" s="12"/>
      <c r="K325" s="12"/>
      <c r="N325" s="12"/>
    </row>
    <row r="326" spans="9:14" x14ac:dyDescent="0.2">
      <c r="I326" s="12"/>
      <c r="J326" s="12"/>
      <c r="K326" s="12"/>
      <c r="N326" s="12"/>
    </row>
    <row r="327" spans="9:14" x14ac:dyDescent="0.2">
      <c r="I327" s="12"/>
      <c r="J327" s="12"/>
      <c r="K327" s="12"/>
      <c r="N327" s="12"/>
    </row>
    <row r="328" spans="9:14" x14ac:dyDescent="0.2">
      <c r="I328" s="12"/>
      <c r="J328" s="12"/>
      <c r="K328" s="12"/>
      <c r="N328" s="12"/>
    </row>
    <row r="329" spans="9:14" x14ac:dyDescent="0.2">
      <c r="I329" s="12"/>
      <c r="J329" s="12"/>
      <c r="K329" s="12"/>
      <c r="N329" s="12"/>
    </row>
    <row r="330" spans="9:14" x14ac:dyDescent="0.2">
      <c r="I330" s="12"/>
      <c r="J330" s="12"/>
      <c r="K330" s="12"/>
      <c r="N330" s="12"/>
    </row>
    <row r="331" spans="9:14" x14ac:dyDescent="0.2">
      <c r="I331" s="12"/>
      <c r="J331" s="12"/>
      <c r="K331" s="12"/>
      <c r="N331" s="12"/>
    </row>
    <row r="332" spans="9:14" x14ac:dyDescent="0.2">
      <c r="I332" s="12"/>
      <c r="J332" s="12"/>
      <c r="K332" s="12"/>
      <c r="N332" s="12"/>
    </row>
    <row r="333" spans="9:14" x14ac:dyDescent="0.2">
      <c r="I333" s="12"/>
      <c r="J333" s="12"/>
      <c r="K333" s="12"/>
      <c r="N333" s="12"/>
    </row>
    <row r="334" spans="9:14" x14ac:dyDescent="0.2">
      <c r="I334" s="12"/>
      <c r="J334" s="12"/>
      <c r="K334" s="12"/>
      <c r="N334" s="12"/>
    </row>
    <row r="335" spans="9:14" x14ac:dyDescent="0.2">
      <c r="I335" s="12"/>
      <c r="J335" s="12"/>
      <c r="K335" s="12"/>
      <c r="N335" s="12"/>
    </row>
    <row r="336" spans="9:14" x14ac:dyDescent="0.2">
      <c r="I336" s="12"/>
      <c r="J336" s="12"/>
      <c r="K336" s="12"/>
      <c r="N336" s="12"/>
    </row>
    <row r="337" spans="9:14" x14ac:dyDescent="0.2">
      <c r="I337" s="12"/>
      <c r="J337" s="12"/>
      <c r="K337" s="12"/>
      <c r="N337" s="12"/>
    </row>
    <row r="338" spans="9:14" x14ac:dyDescent="0.2">
      <c r="I338" s="12"/>
      <c r="J338" s="12"/>
      <c r="K338" s="12"/>
      <c r="N338" s="12"/>
    </row>
    <row r="339" spans="9:14" x14ac:dyDescent="0.2">
      <c r="I339" s="12"/>
      <c r="J339" s="12"/>
      <c r="K339" s="12"/>
      <c r="N339" s="12"/>
    </row>
    <row r="340" spans="9:14" x14ac:dyDescent="0.2">
      <c r="I340" s="12"/>
      <c r="J340" s="12"/>
      <c r="K340" s="12"/>
      <c r="N340" s="12"/>
    </row>
    <row r="341" spans="9:14" x14ac:dyDescent="0.2">
      <c r="I341" s="12"/>
      <c r="J341" s="12"/>
      <c r="K341" s="12"/>
      <c r="N341" s="12"/>
    </row>
    <row r="342" spans="9:14" x14ac:dyDescent="0.2">
      <c r="I342" s="12"/>
      <c r="J342" s="12"/>
      <c r="K342" s="12"/>
      <c r="N342" s="12"/>
    </row>
    <row r="343" spans="9:14" x14ac:dyDescent="0.2">
      <c r="I343" s="12"/>
      <c r="J343" s="12"/>
      <c r="K343" s="12"/>
      <c r="N343" s="12"/>
    </row>
    <row r="344" spans="9:14" x14ac:dyDescent="0.2">
      <c r="I344" s="12"/>
      <c r="J344" s="12"/>
      <c r="K344" s="12"/>
      <c r="N344" s="12"/>
    </row>
    <row r="345" spans="9:14" x14ac:dyDescent="0.2">
      <c r="I345" s="12"/>
      <c r="J345" s="12"/>
      <c r="K345" s="12"/>
      <c r="N345" s="12"/>
    </row>
    <row r="346" spans="9:14" x14ac:dyDescent="0.2">
      <c r="I346" s="12"/>
      <c r="J346" s="12"/>
      <c r="K346" s="12"/>
      <c r="N346" s="12"/>
    </row>
    <row r="347" spans="9:14" x14ac:dyDescent="0.2">
      <c r="I347" s="12"/>
      <c r="J347" s="12"/>
      <c r="K347" s="12"/>
      <c r="N347" s="12"/>
    </row>
    <row r="348" spans="9:14" x14ac:dyDescent="0.2">
      <c r="I348" s="12"/>
      <c r="J348" s="12"/>
      <c r="K348" s="12"/>
      <c r="N348" s="12"/>
    </row>
    <row r="349" spans="9:14" x14ac:dyDescent="0.2">
      <c r="I349" s="12"/>
      <c r="J349" s="12"/>
      <c r="K349" s="12"/>
      <c r="N349" s="12"/>
    </row>
    <row r="350" spans="9:14" x14ac:dyDescent="0.2">
      <c r="I350" s="12"/>
      <c r="J350" s="12"/>
      <c r="K350" s="12"/>
      <c r="N350" s="12"/>
    </row>
    <row r="351" spans="9:14" x14ac:dyDescent="0.2">
      <c r="I351" s="12"/>
      <c r="J351" s="12"/>
      <c r="K351" s="12"/>
      <c r="N351" s="12"/>
    </row>
    <row r="352" spans="9:14" x14ac:dyDescent="0.2">
      <c r="I352" s="12"/>
      <c r="J352" s="12"/>
      <c r="K352" s="12"/>
      <c r="N352" s="12"/>
    </row>
    <row r="353" spans="9:14" x14ac:dyDescent="0.2">
      <c r="I353" s="12"/>
      <c r="J353" s="12"/>
      <c r="K353" s="12"/>
      <c r="N353" s="12"/>
    </row>
    <row r="354" spans="9:14" x14ac:dyDescent="0.2">
      <c r="I354" s="12"/>
      <c r="J354" s="12"/>
      <c r="K354" s="12"/>
      <c r="N354" s="12"/>
    </row>
    <row r="355" spans="9:14" x14ac:dyDescent="0.2">
      <c r="I355" s="12"/>
      <c r="J355" s="12"/>
      <c r="K355" s="12"/>
      <c r="N355" s="12"/>
    </row>
    <row r="356" spans="9:14" x14ac:dyDescent="0.2">
      <c r="I356" s="12"/>
      <c r="J356" s="12"/>
      <c r="K356" s="12"/>
      <c r="N356" s="12"/>
    </row>
    <row r="357" spans="9:14" x14ac:dyDescent="0.2">
      <c r="I357" s="12"/>
      <c r="J357" s="12"/>
      <c r="K357" s="12"/>
      <c r="N357" s="12"/>
    </row>
    <row r="358" spans="9:14" x14ac:dyDescent="0.2">
      <c r="I358" s="12"/>
      <c r="J358" s="12"/>
      <c r="K358" s="12"/>
      <c r="N358" s="12"/>
    </row>
    <row r="359" spans="9:14" x14ac:dyDescent="0.2">
      <c r="I359" s="12"/>
      <c r="J359" s="12"/>
      <c r="K359" s="12"/>
      <c r="N359" s="12"/>
    </row>
    <row r="360" spans="9:14" x14ac:dyDescent="0.2">
      <c r="I360" s="12"/>
      <c r="J360" s="12"/>
      <c r="K360" s="12"/>
      <c r="N360" s="12"/>
    </row>
    <row r="361" spans="9:14" x14ac:dyDescent="0.2">
      <c r="I361" s="12"/>
      <c r="J361" s="12"/>
      <c r="K361" s="12"/>
      <c r="N361" s="12"/>
    </row>
    <row r="362" spans="9:14" x14ac:dyDescent="0.2">
      <c r="I362" s="12"/>
      <c r="J362" s="12"/>
      <c r="K362" s="12"/>
      <c r="N362" s="12"/>
    </row>
    <row r="363" spans="9:14" x14ac:dyDescent="0.2">
      <c r="I363" s="12"/>
      <c r="J363" s="12"/>
      <c r="K363" s="12"/>
      <c r="N363" s="12"/>
    </row>
    <row r="364" spans="9:14" x14ac:dyDescent="0.2">
      <c r="I364" s="12"/>
      <c r="J364" s="12"/>
      <c r="K364" s="12"/>
      <c r="N364" s="12"/>
    </row>
    <row r="365" spans="9:14" x14ac:dyDescent="0.2">
      <c r="I365" s="12"/>
      <c r="J365" s="12"/>
      <c r="K365" s="12"/>
      <c r="N365" s="12"/>
    </row>
    <row r="366" spans="9:14" x14ac:dyDescent="0.2">
      <c r="I366" s="12"/>
      <c r="J366" s="12"/>
      <c r="K366" s="12"/>
      <c r="N366" s="12"/>
    </row>
    <row r="367" spans="9:14" x14ac:dyDescent="0.2">
      <c r="I367" s="12"/>
      <c r="J367" s="12"/>
      <c r="K367" s="12"/>
      <c r="N367" s="12"/>
    </row>
    <row r="368" spans="9:14" x14ac:dyDescent="0.2">
      <c r="I368" s="12"/>
      <c r="J368" s="12"/>
      <c r="K368" s="12"/>
      <c r="N368" s="12"/>
    </row>
    <row r="369" spans="9:14" x14ac:dyDescent="0.2">
      <c r="I369" s="12"/>
      <c r="J369" s="12"/>
      <c r="K369" s="12"/>
      <c r="N369" s="12"/>
    </row>
    <row r="370" spans="9:14" x14ac:dyDescent="0.2">
      <c r="I370" s="12"/>
      <c r="J370" s="12"/>
      <c r="K370" s="12"/>
      <c r="N370" s="12"/>
    </row>
    <row r="371" spans="9:14" x14ac:dyDescent="0.2">
      <c r="I371" s="12"/>
      <c r="J371" s="12"/>
      <c r="K371" s="12"/>
      <c r="N371" s="12"/>
    </row>
    <row r="372" spans="9:14" x14ac:dyDescent="0.2">
      <c r="I372" s="12"/>
      <c r="J372" s="12"/>
      <c r="K372" s="12"/>
      <c r="N372" s="12"/>
    </row>
    <row r="373" spans="9:14" x14ac:dyDescent="0.2">
      <c r="I373" s="12"/>
      <c r="J373" s="12"/>
      <c r="K373" s="12"/>
      <c r="N373" s="12"/>
    </row>
    <row r="374" spans="9:14" x14ac:dyDescent="0.2">
      <c r="I374" s="12"/>
      <c r="J374" s="12"/>
      <c r="K374" s="12"/>
      <c r="N374" s="12"/>
    </row>
    <row r="375" spans="9:14" x14ac:dyDescent="0.2">
      <c r="I375" s="12"/>
      <c r="J375" s="12"/>
      <c r="K375" s="12"/>
      <c r="N375" s="12"/>
    </row>
    <row r="376" spans="9:14" x14ac:dyDescent="0.2">
      <c r="I376" s="12"/>
      <c r="J376" s="12"/>
      <c r="K376" s="12"/>
      <c r="N376" s="12"/>
    </row>
    <row r="377" spans="9:14" x14ac:dyDescent="0.2">
      <c r="I377" s="12"/>
      <c r="J377" s="12"/>
      <c r="K377" s="12"/>
      <c r="N377" s="12"/>
    </row>
    <row r="378" spans="9:14" x14ac:dyDescent="0.2">
      <c r="I378" s="12"/>
      <c r="J378" s="12"/>
      <c r="K378" s="12"/>
      <c r="N378" s="12"/>
    </row>
    <row r="379" spans="9:14" x14ac:dyDescent="0.2">
      <c r="I379" s="12"/>
      <c r="J379" s="12"/>
      <c r="K379" s="12"/>
      <c r="N379" s="12"/>
    </row>
    <row r="380" spans="9:14" x14ac:dyDescent="0.2">
      <c r="I380" s="12"/>
      <c r="J380" s="12"/>
      <c r="K380" s="12"/>
      <c r="N380" s="12"/>
    </row>
    <row r="381" spans="9:14" x14ac:dyDescent="0.2">
      <c r="I381" s="12"/>
      <c r="J381" s="12"/>
      <c r="K381" s="12"/>
      <c r="N381" s="12"/>
    </row>
    <row r="382" spans="9:14" x14ac:dyDescent="0.2">
      <c r="I382" s="12"/>
      <c r="J382" s="12"/>
      <c r="K382" s="12"/>
      <c r="N382" s="12"/>
    </row>
    <row r="383" spans="9:14" x14ac:dyDescent="0.2">
      <c r="I383" s="12"/>
      <c r="J383" s="12"/>
      <c r="K383" s="12"/>
      <c r="N383" s="12"/>
    </row>
    <row r="384" spans="9:14" x14ac:dyDescent="0.2">
      <c r="I384" s="12"/>
      <c r="J384" s="12"/>
      <c r="K384" s="12"/>
      <c r="N384" s="12"/>
    </row>
    <row r="385" spans="9:14" x14ac:dyDescent="0.2">
      <c r="I385" s="12"/>
      <c r="J385" s="12"/>
      <c r="K385" s="12"/>
      <c r="N385" s="12"/>
    </row>
    <row r="386" spans="9:14" x14ac:dyDescent="0.2">
      <c r="I386" s="12"/>
      <c r="J386" s="12"/>
      <c r="K386" s="12"/>
      <c r="N386" s="12"/>
    </row>
    <row r="387" spans="9:14" x14ac:dyDescent="0.2">
      <c r="I387" s="12"/>
      <c r="J387" s="12"/>
      <c r="K387" s="12"/>
      <c r="N387" s="12"/>
    </row>
    <row r="388" spans="9:14" x14ac:dyDescent="0.2">
      <c r="I388" s="12"/>
      <c r="J388" s="12"/>
      <c r="K388" s="12"/>
      <c r="N388" s="12"/>
    </row>
    <row r="389" spans="9:14" x14ac:dyDescent="0.2">
      <c r="I389" s="12"/>
      <c r="J389" s="12"/>
      <c r="K389" s="12"/>
      <c r="N389" s="12"/>
    </row>
    <row r="390" spans="9:14" x14ac:dyDescent="0.2">
      <c r="I390" s="12"/>
      <c r="J390" s="12"/>
      <c r="K390" s="12"/>
      <c r="N390" s="12"/>
    </row>
    <row r="391" spans="9:14" x14ac:dyDescent="0.2">
      <c r="I391" s="12"/>
      <c r="J391" s="12"/>
      <c r="K391" s="12"/>
      <c r="N391" s="12"/>
    </row>
    <row r="392" spans="9:14" x14ac:dyDescent="0.2">
      <c r="I392" s="12"/>
      <c r="J392" s="12"/>
      <c r="K392" s="12"/>
      <c r="N392" s="12"/>
    </row>
    <row r="393" spans="9:14" x14ac:dyDescent="0.2">
      <c r="I393" s="12"/>
      <c r="J393" s="12"/>
      <c r="K393" s="12"/>
      <c r="N393" s="12"/>
    </row>
    <row r="394" spans="9:14" x14ac:dyDescent="0.2">
      <c r="I394" s="12"/>
      <c r="J394" s="12"/>
      <c r="K394" s="12"/>
      <c r="N394" s="12"/>
    </row>
    <row r="395" spans="9:14" x14ac:dyDescent="0.2">
      <c r="I395" s="12"/>
      <c r="J395" s="12"/>
      <c r="K395" s="12"/>
      <c r="N395" s="12"/>
    </row>
    <row r="396" spans="9:14" x14ac:dyDescent="0.2">
      <c r="I396" s="12"/>
      <c r="J396" s="12"/>
      <c r="K396" s="12"/>
      <c r="N396" s="12"/>
    </row>
    <row r="397" spans="9:14" x14ac:dyDescent="0.2">
      <c r="I397" s="12"/>
      <c r="J397" s="12"/>
      <c r="K397" s="12"/>
      <c r="N397" s="12"/>
    </row>
    <row r="398" spans="9:14" x14ac:dyDescent="0.2">
      <c r="I398" s="12"/>
      <c r="J398" s="12"/>
      <c r="K398" s="12"/>
      <c r="N398" s="12"/>
    </row>
    <row r="399" spans="9:14" x14ac:dyDescent="0.2">
      <c r="I399" s="12"/>
      <c r="J399" s="12"/>
      <c r="K399" s="12"/>
      <c r="N399" s="12"/>
    </row>
    <row r="400" spans="9:14" x14ac:dyDescent="0.2">
      <c r="I400" s="12"/>
      <c r="J400" s="12"/>
      <c r="K400" s="12"/>
      <c r="N400" s="12"/>
    </row>
    <row r="401" spans="9:14" x14ac:dyDescent="0.2">
      <c r="I401" s="12"/>
      <c r="J401" s="12"/>
      <c r="K401" s="12"/>
      <c r="N401" s="12"/>
    </row>
    <row r="402" spans="9:14" x14ac:dyDescent="0.2">
      <c r="I402" s="12"/>
      <c r="J402" s="12"/>
      <c r="K402" s="12"/>
      <c r="N402" s="12"/>
    </row>
    <row r="403" spans="9:14" x14ac:dyDescent="0.2">
      <c r="I403" s="12"/>
      <c r="J403" s="12"/>
      <c r="K403" s="12"/>
      <c r="N403" s="12"/>
    </row>
    <row r="404" spans="9:14" x14ac:dyDescent="0.2">
      <c r="I404" s="12"/>
      <c r="J404" s="12"/>
      <c r="K404" s="12"/>
      <c r="N404" s="12"/>
    </row>
    <row r="405" spans="9:14" x14ac:dyDescent="0.2">
      <c r="I405" s="12"/>
      <c r="J405" s="12"/>
      <c r="K405" s="12"/>
      <c r="N405" s="12"/>
    </row>
    <row r="406" spans="9:14" x14ac:dyDescent="0.2">
      <c r="I406" s="12"/>
      <c r="J406" s="12"/>
      <c r="K406" s="12"/>
      <c r="N406" s="12"/>
    </row>
    <row r="407" spans="9:14" x14ac:dyDescent="0.2">
      <c r="I407" s="12"/>
      <c r="J407" s="12"/>
      <c r="K407" s="12"/>
      <c r="N407" s="12"/>
    </row>
    <row r="408" spans="9:14" x14ac:dyDescent="0.2">
      <c r="I408" s="12"/>
      <c r="J408" s="12"/>
      <c r="K408" s="12"/>
      <c r="N408" s="12"/>
    </row>
    <row r="409" spans="9:14" x14ac:dyDescent="0.2">
      <c r="I409" s="12"/>
      <c r="J409" s="12"/>
      <c r="K409" s="12"/>
      <c r="N409" s="12"/>
    </row>
    <row r="410" spans="9:14" x14ac:dyDescent="0.2">
      <c r="I410" s="12"/>
      <c r="J410" s="12"/>
      <c r="K410" s="12"/>
      <c r="N410" s="12"/>
    </row>
    <row r="411" spans="9:14" x14ac:dyDescent="0.2">
      <c r="I411" s="12"/>
      <c r="J411" s="12"/>
      <c r="K411" s="12"/>
      <c r="N411" s="12"/>
    </row>
    <row r="412" spans="9:14" x14ac:dyDescent="0.2">
      <c r="I412" s="12"/>
      <c r="J412" s="12"/>
      <c r="K412" s="12"/>
      <c r="N412" s="12"/>
    </row>
    <row r="413" spans="9:14" x14ac:dyDescent="0.2">
      <c r="I413" s="12"/>
      <c r="J413" s="12"/>
      <c r="K413" s="12"/>
      <c r="N413" s="12"/>
    </row>
    <row r="414" spans="9:14" x14ac:dyDescent="0.2">
      <c r="I414" s="12"/>
      <c r="J414" s="12"/>
      <c r="K414" s="12"/>
      <c r="N414" s="12"/>
    </row>
    <row r="415" spans="9:14" x14ac:dyDescent="0.2">
      <c r="I415" s="12"/>
      <c r="J415" s="12"/>
      <c r="K415" s="12"/>
      <c r="N415" s="12"/>
    </row>
    <row r="416" spans="9:14" x14ac:dyDescent="0.2">
      <c r="I416" s="12"/>
      <c r="J416" s="12"/>
      <c r="K416" s="12"/>
      <c r="N416" s="12"/>
    </row>
    <row r="417" spans="9:14" x14ac:dyDescent="0.2">
      <c r="I417" s="12"/>
      <c r="J417" s="12"/>
      <c r="K417" s="12"/>
      <c r="N417" s="12"/>
    </row>
    <row r="418" spans="9:14" x14ac:dyDescent="0.2">
      <c r="I418" s="12"/>
      <c r="J418" s="12"/>
      <c r="K418" s="12"/>
      <c r="N418" s="12"/>
    </row>
    <row r="419" spans="9:14" x14ac:dyDescent="0.2">
      <c r="I419" s="12"/>
      <c r="J419" s="12"/>
      <c r="K419" s="12"/>
      <c r="N419" s="12"/>
    </row>
    <row r="420" spans="9:14" x14ac:dyDescent="0.2">
      <c r="I420" s="12"/>
      <c r="J420" s="12"/>
      <c r="K420" s="12"/>
      <c r="N420" s="12"/>
    </row>
    <row r="421" spans="9:14" x14ac:dyDescent="0.2">
      <c r="I421" s="12"/>
      <c r="J421" s="12"/>
      <c r="K421" s="12"/>
      <c r="N421" s="12"/>
    </row>
    <row r="422" spans="9:14" x14ac:dyDescent="0.2">
      <c r="I422" s="12"/>
      <c r="J422" s="12"/>
      <c r="K422" s="12"/>
      <c r="N422" s="12"/>
    </row>
    <row r="423" spans="9:14" x14ac:dyDescent="0.2">
      <c r="I423" s="12"/>
      <c r="J423" s="12"/>
      <c r="K423" s="12"/>
      <c r="N423" s="12"/>
    </row>
    <row r="424" spans="9:14" x14ac:dyDescent="0.2">
      <c r="I424" s="12"/>
      <c r="J424" s="12"/>
      <c r="K424" s="12"/>
      <c r="N424" s="12"/>
    </row>
    <row r="425" spans="9:14" x14ac:dyDescent="0.2">
      <c r="I425" s="12"/>
      <c r="J425" s="12"/>
      <c r="K425" s="12"/>
      <c r="N425" s="12"/>
    </row>
    <row r="426" spans="9:14" x14ac:dyDescent="0.2">
      <c r="I426" s="12"/>
      <c r="J426" s="12"/>
      <c r="K426" s="12"/>
      <c r="N426" s="12"/>
    </row>
    <row r="427" spans="9:14" x14ac:dyDescent="0.2">
      <c r="I427" s="12"/>
      <c r="J427" s="12"/>
      <c r="K427" s="12"/>
      <c r="N427" s="12"/>
    </row>
    <row r="428" spans="9:14" x14ac:dyDescent="0.2">
      <c r="I428" s="12"/>
      <c r="J428" s="12"/>
      <c r="K428" s="12"/>
      <c r="N428" s="12"/>
    </row>
    <row r="429" spans="9:14" x14ac:dyDescent="0.2">
      <c r="I429" s="12"/>
      <c r="J429" s="12"/>
      <c r="K429" s="12"/>
      <c r="N429" s="12"/>
    </row>
    <row r="430" spans="9:14" x14ac:dyDescent="0.2">
      <c r="I430" s="12"/>
      <c r="J430" s="12"/>
      <c r="K430" s="12"/>
      <c r="N430" s="12"/>
    </row>
    <row r="431" spans="9:14" x14ac:dyDescent="0.2">
      <c r="I431" s="12"/>
      <c r="J431" s="12"/>
      <c r="K431" s="12"/>
      <c r="N431" s="12"/>
    </row>
    <row r="432" spans="9:14" x14ac:dyDescent="0.2">
      <c r="I432" s="12"/>
      <c r="J432" s="12"/>
      <c r="K432" s="12"/>
      <c r="N432" s="12"/>
    </row>
    <row r="433" spans="9:14" x14ac:dyDescent="0.2">
      <c r="I433" s="12"/>
      <c r="J433" s="12"/>
      <c r="K433" s="12"/>
      <c r="N433" s="12"/>
    </row>
    <row r="434" spans="9:14" x14ac:dyDescent="0.2">
      <c r="I434" s="12"/>
      <c r="J434" s="12"/>
      <c r="K434" s="12"/>
      <c r="N434" s="12"/>
    </row>
    <row r="435" spans="9:14" x14ac:dyDescent="0.2">
      <c r="I435" s="12"/>
      <c r="J435" s="12"/>
      <c r="K435" s="12"/>
      <c r="N435" s="12"/>
    </row>
    <row r="436" spans="9:14" x14ac:dyDescent="0.2">
      <c r="I436" s="12"/>
      <c r="J436" s="12"/>
      <c r="K436" s="12"/>
      <c r="N436" s="12"/>
    </row>
    <row r="437" spans="9:14" x14ac:dyDescent="0.2">
      <c r="I437" s="12"/>
      <c r="J437" s="12"/>
      <c r="K437" s="12"/>
      <c r="N437" s="12"/>
    </row>
    <row r="438" spans="9:14" x14ac:dyDescent="0.2">
      <c r="I438" s="12"/>
      <c r="J438" s="12"/>
      <c r="K438" s="12"/>
      <c r="N438" s="12"/>
    </row>
    <row r="439" spans="9:14" x14ac:dyDescent="0.2">
      <c r="I439" s="12"/>
      <c r="J439" s="12"/>
      <c r="K439" s="12"/>
      <c r="N439" s="12"/>
    </row>
    <row r="440" spans="9:14" x14ac:dyDescent="0.2">
      <c r="I440" s="12"/>
      <c r="J440" s="12"/>
      <c r="K440" s="12"/>
      <c r="N440" s="12"/>
    </row>
    <row r="441" spans="9:14" x14ac:dyDescent="0.2">
      <c r="I441" s="12"/>
      <c r="J441" s="12"/>
      <c r="K441" s="12"/>
      <c r="N441" s="12"/>
    </row>
    <row r="442" spans="9:14" x14ac:dyDescent="0.2">
      <c r="I442" s="12"/>
      <c r="J442" s="12"/>
      <c r="K442" s="12"/>
      <c r="N442" s="12"/>
    </row>
    <row r="443" spans="9:14" x14ac:dyDescent="0.2">
      <c r="I443" s="12"/>
      <c r="J443" s="12"/>
      <c r="K443" s="12"/>
      <c r="N443" s="12"/>
    </row>
    <row r="444" spans="9:14" x14ac:dyDescent="0.2">
      <c r="I444" s="12"/>
      <c r="J444" s="12"/>
      <c r="K444" s="12"/>
      <c r="N444" s="12"/>
    </row>
    <row r="445" spans="9:14" x14ac:dyDescent="0.2">
      <c r="I445" s="12"/>
      <c r="J445" s="12"/>
      <c r="K445" s="12"/>
      <c r="N445" s="12"/>
    </row>
    <row r="446" spans="9:14" x14ac:dyDescent="0.2">
      <c r="I446" s="12"/>
      <c r="J446" s="12"/>
      <c r="K446" s="12"/>
      <c r="N446" s="12"/>
    </row>
    <row r="447" spans="9:14" x14ac:dyDescent="0.2">
      <c r="I447" s="12"/>
      <c r="J447" s="12"/>
      <c r="K447" s="12"/>
      <c r="N447" s="12"/>
    </row>
    <row r="448" spans="9:14" x14ac:dyDescent="0.2">
      <c r="I448" s="12"/>
      <c r="J448" s="12"/>
      <c r="K448" s="12"/>
      <c r="N448" s="12"/>
    </row>
    <row r="449" spans="9:14" x14ac:dyDescent="0.2">
      <c r="I449" s="12"/>
      <c r="J449" s="12"/>
      <c r="K449" s="12"/>
      <c r="N449" s="12"/>
    </row>
    <row r="450" spans="9:14" x14ac:dyDescent="0.2">
      <c r="I450" s="12"/>
      <c r="J450" s="12"/>
      <c r="K450" s="12"/>
      <c r="N450" s="12"/>
    </row>
    <row r="451" spans="9:14" x14ac:dyDescent="0.2">
      <c r="I451" s="12"/>
      <c r="J451" s="12"/>
      <c r="K451" s="12"/>
      <c r="N451" s="12"/>
    </row>
    <row r="452" spans="9:14" x14ac:dyDescent="0.2">
      <c r="I452" s="12"/>
      <c r="J452" s="12"/>
      <c r="K452" s="12"/>
      <c r="N452" s="12"/>
    </row>
    <row r="453" spans="9:14" x14ac:dyDescent="0.2">
      <c r="I453" s="12"/>
      <c r="J453" s="12"/>
      <c r="K453" s="12"/>
      <c r="N453" s="12"/>
    </row>
    <row r="454" spans="9:14" x14ac:dyDescent="0.2">
      <c r="I454" s="12"/>
      <c r="J454" s="12"/>
      <c r="K454" s="12"/>
      <c r="N454" s="12"/>
    </row>
    <row r="455" spans="9:14" x14ac:dyDescent="0.2">
      <c r="I455" s="12"/>
      <c r="J455" s="12"/>
      <c r="K455" s="12"/>
      <c r="N455" s="12"/>
    </row>
    <row r="456" spans="9:14" x14ac:dyDescent="0.2">
      <c r="I456" s="12"/>
      <c r="J456" s="12"/>
      <c r="K456" s="12"/>
      <c r="N456" s="12"/>
    </row>
    <row r="457" spans="9:14" x14ac:dyDescent="0.2">
      <c r="I457" s="12"/>
      <c r="J457" s="12"/>
      <c r="K457" s="12"/>
      <c r="N457" s="12"/>
    </row>
    <row r="458" spans="9:14" x14ac:dyDescent="0.2">
      <c r="I458" s="12"/>
      <c r="J458" s="12"/>
      <c r="K458" s="12"/>
      <c r="N458" s="12"/>
    </row>
    <row r="459" spans="9:14" x14ac:dyDescent="0.2">
      <c r="I459" s="12"/>
      <c r="J459" s="12"/>
      <c r="K459" s="12"/>
      <c r="N459" s="12"/>
    </row>
    <row r="460" spans="9:14" x14ac:dyDescent="0.2">
      <c r="I460" s="12"/>
      <c r="J460" s="12"/>
      <c r="K460" s="12"/>
      <c r="N460" s="12"/>
    </row>
    <row r="461" spans="9:14" x14ac:dyDescent="0.2">
      <c r="I461" s="12"/>
      <c r="J461" s="12"/>
      <c r="K461" s="12"/>
      <c r="N461" s="12"/>
    </row>
    <row r="462" spans="9:14" x14ac:dyDescent="0.2">
      <c r="I462" s="12"/>
      <c r="J462" s="12"/>
      <c r="K462" s="12"/>
      <c r="N462" s="12"/>
    </row>
    <row r="463" spans="9:14" x14ac:dyDescent="0.2">
      <c r="I463" s="12"/>
      <c r="J463" s="12"/>
      <c r="K463" s="12"/>
      <c r="N463" s="12"/>
    </row>
    <row r="464" spans="9:14" x14ac:dyDescent="0.2">
      <c r="I464" s="12"/>
      <c r="J464" s="12"/>
      <c r="K464" s="12"/>
      <c r="N464" s="12"/>
    </row>
    <row r="465" spans="9:14" x14ac:dyDescent="0.2">
      <c r="I465" s="12"/>
      <c r="J465" s="12"/>
      <c r="K465" s="12"/>
      <c r="N465" s="12"/>
    </row>
    <row r="466" spans="9:14" x14ac:dyDescent="0.2">
      <c r="I466" s="12"/>
      <c r="J466" s="12"/>
      <c r="K466" s="12"/>
      <c r="N466" s="12"/>
    </row>
    <row r="467" spans="9:14" x14ac:dyDescent="0.2">
      <c r="I467" s="12"/>
      <c r="J467" s="12"/>
      <c r="K467" s="12"/>
      <c r="N467" s="12"/>
    </row>
    <row r="468" spans="9:14" x14ac:dyDescent="0.2">
      <c r="I468" s="12"/>
      <c r="J468" s="12"/>
      <c r="K468" s="12"/>
      <c r="N468" s="12"/>
    </row>
    <row r="469" spans="9:14" x14ac:dyDescent="0.2">
      <c r="I469" s="12"/>
      <c r="J469" s="12"/>
      <c r="K469" s="12"/>
      <c r="N469" s="12"/>
    </row>
    <row r="470" spans="9:14" x14ac:dyDescent="0.2">
      <c r="I470" s="12"/>
      <c r="J470" s="12"/>
      <c r="K470" s="12"/>
      <c r="N470" s="12"/>
    </row>
    <row r="471" spans="9:14" x14ac:dyDescent="0.2">
      <c r="I471" s="12"/>
      <c r="J471" s="12"/>
      <c r="K471" s="12"/>
      <c r="N471" s="12"/>
    </row>
    <row r="472" spans="9:14" x14ac:dyDescent="0.2">
      <c r="I472" s="12"/>
      <c r="J472" s="12"/>
      <c r="K472" s="12"/>
      <c r="N472" s="12"/>
    </row>
    <row r="473" spans="9:14" x14ac:dyDescent="0.2">
      <c r="I473" s="12"/>
      <c r="J473" s="12"/>
      <c r="K473" s="12"/>
      <c r="N473" s="12"/>
    </row>
    <row r="474" spans="9:14" x14ac:dyDescent="0.2">
      <c r="I474" s="12"/>
      <c r="J474" s="12"/>
      <c r="K474" s="12"/>
      <c r="N474" s="12"/>
    </row>
    <row r="475" spans="9:14" x14ac:dyDescent="0.2">
      <c r="I475" s="12"/>
      <c r="J475" s="12"/>
      <c r="K475" s="12"/>
      <c r="N475" s="12"/>
    </row>
    <row r="476" spans="9:14" x14ac:dyDescent="0.2">
      <c r="I476" s="12"/>
      <c r="J476" s="12"/>
      <c r="K476" s="12"/>
      <c r="N476" s="12"/>
    </row>
    <row r="477" spans="9:14" x14ac:dyDescent="0.2">
      <c r="I477" s="12"/>
      <c r="J477" s="12"/>
      <c r="K477" s="12"/>
      <c r="N477" s="12"/>
    </row>
    <row r="478" spans="9:14" x14ac:dyDescent="0.2">
      <c r="I478" s="12"/>
      <c r="J478" s="12"/>
      <c r="K478" s="12"/>
      <c r="N478" s="12"/>
    </row>
    <row r="479" spans="9:14" x14ac:dyDescent="0.2">
      <c r="I479" s="12"/>
      <c r="J479" s="12"/>
      <c r="K479" s="12"/>
      <c r="N479" s="12"/>
    </row>
    <row r="480" spans="9:14" x14ac:dyDescent="0.2">
      <c r="I480" s="12"/>
      <c r="J480" s="12"/>
      <c r="K480" s="12"/>
      <c r="N480" s="12"/>
    </row>
    <row r="481" spans="9:14" x14ac:dyDescent="0.2">
      <c r="I481" s="12"/>
      <c r="J481" s="12"/>
      <c r="K481" s="12"/>
      <c r="N481" s="12"/>
    </row>
    <row r="482" spans="9:14" x14ac:dyDescent="0.2">
      <c r="I482" s="12"/>
      <c r="J482" s="12"/>
      <c r="K482" s="12"/>
      <c r="N482" s="12"/>
    </row>
    <row r="483" spans="9:14" x14ac:dyDescent="0.2">
      <c r="I483" s="12"/>
      <c r="J483" s="12"/>
      <c r="K483" s="12"/>
      <c r="N483" s="12"/>
    </row>
    <row r="484" spans="9:14" x14ac:dyDescent="0.2">
      <c r="I484" s="12"/>
      <c r="J484" s="12"/>
      <c r="K484" s="12"/>
      <c r="N484" s="12"/>
    </row>
    <row r="485" spans="9:14" x14ac:dyDescent="0.2">
      <c r="I485" s="12"/>
      <c r="J485" s="12"/>
      <c r="K485" s="12"/>
      <c r="N485" s="12"/>
    </row>
    <row r="486" spans="9:14" x14ac:dyDescent="0.2">
      <c r="I486" s="12"/>
      <c r="J486" s="12"/>
      <c r="K486" s="12"/>
      <c r="N486" s="12"/>
    </row>
    <row r="487" spans="9:14" x14ac:dyDescent="0.2">
      <c r="I487" s="12"/>
      <c r="J487" s="12"/>
      <c r="K487" s="12"/>
      <c r="N487" s="12"/>
    </row>
    <row r="488" spans="9:14" x14ac:dyDescent="0.2">
      <c r="I488" s="12"/>
      <c r="J488" s="12"/>
      <c r="K488" s="12"/>
      <c r="N488" s="12"/>
    </row>
    <row r="489" spans="9:14" x14ac:dyDescent="0.2">
      <c r="I489" s="12"/>
      <c r="J489" s="12"/>
      <c r="K489" s="12"/>
      <c r="N489" s="12"/>
    </row>
    <row r="490" spans="9:14" x14ac:dyDescent="0.2">
      <c r="I490" s="12"/>
      <c r="J490" s="12"/>
      <c r="K490" s="12"/>
      <c r="N490" s="12"/>
    </row>
    <row r="491" spans="9:14" x14ac:dyDescent="0.2">
      <c r="I491" s="12"/>
      <c r="J491" s="12"/>
      <c r="K491" s="12"/>
      <c r="N491" s="12"/>
    </row>
    <row r="492" spans="9:14" x14ac:dyDescent="0.2">
      <c r="I492" s="12"/>
      <c r="J492" s="12"/>
      <c r="K492" s="12"/>
      <c r="N492" s="12"/>
    </row>
    <row r="493" spans="9:14" x14ac:dyDescent="0.2">
      <c r="I493" s="12"/>
      <c r="J493" s="12"/>
      <c r="K493" s="12"/>
      <c r="N493" s="12"/>
    </row>
    <row r="494" spans="9:14" x14ac:dyDescent="0.2">
      <c r="I494" s="12"/>
      <c r="J494" s="12"/>
      <c r="K494" s="12"/>
      <c r="N494" s="12"/>
    </row>
    <row r="495" spans="9:14" x14ac:dyDescent="0.2">
      <c r="I495" s="12"/>
      <c r="J495" s="12"/>
      <c r="K495" s="12"/>
      <c r="N495" s="12"/>
    </row>
    <row r="496" spans="9:14" x14ac:dyDescent="0.2">
      <c r="I496" s="12"/>
      <c r="J496" s="12"/>
      <c r="K496" s="12"/>
      <c r="N496" s="12"/>
    </row>
    <row r="497" spans="9:14" x14ac:dyDescent="0.2">
      <c r="I497" s="12"/>
      <c r="J497" s="12"/>
      <c r="K497" s="12"/>
      <c r="N497" s="12"/>
    </row>
    <row r="498" spans="9:14" x14ac:dyDescent="0.2">
      <c r="I498" s="12"/>
      <c r="J498" s="12"/>
      <c r="K498" s="12"/>
      <c r="N498" s="12"/>
    </row>
    <row r="499" spans="9:14" x14ac:dyDescent="0.2">
      <c r="I499" s="12"/>
      <c r="J499" s="12"/>
      <c r="K499" s="12"/>
      <c r="N499" s="12"/>
    </row>
    <row r="500" spans="9:14" x14ac:dyDescent="0.2">
      <c r="I500" s="12"/>
      <c r="J500" s="12"/>
      <c r="K500" s="12"/>
      <c r="N500" s="12"/>
    </row>
    <row r="501" spans="9:14" x14ac:dyDescent="0.2">
      <c r="I501" s="12"/>
      <c r="J501" s="12"/>
      <c r="K501" s="12"/>
      <c r="N501" s="12"/>
    </row>
    <row r="502" spans="9:14" x14ac:dyDescent="0.2">
      <c r="I502" s="12"/>
      <c r="J502" s="12"/>
      <c r="K502" s="12"/>
      <c r="N502" s="12"/>
    </row>
    <row r="503" spans="9:14" x14ac:dyDescent="0.2">
      <c r="I503" s="12"/>
      <c r="J503" s="12"/>
      <c r="K503" s="12"/>
      <c r="N503" s="12"/>
    </row>
    <row r="504" spans="9:14" x14ac:dyDescent="0.2">
      <c r="I504" s="12"/>
      <c r="J504" s="12"/>
      <c r="K504" s="12"/>
      <c r="N504" s="12"/>
    </row>
    <row r="505" spans="9:14" x14ac:dyDescent="0.2">
      <c r="I505" s="12"/>
      <c r="J505" s="12"/>
      <c r="K505" s="12"/>
      <c r="N505" s="12"/>
    </row>
    <row r="506" spans="9:14" x14ac:dyDescent="0.2">
      <c r="I506" s="12"/>
      <c r="J506" s="12"/>
      <c r="K506" s="12"/>
      <c r="N506" s="12"/>
    </row>
    <row r="507" spans="9:14" x14ac:dyDescent="0.2">
      <c r="I507" s="12"/>
      <c r="J507" s="12"/>
      <c r="K507" s="12"/>
      <c r="N507" s="12"/>
    </row>
    <row r="508" spans="9:14" x14ac:dyDescent="0.2">
      <c r="I508" s="12"/>
      <c r="J508" s="12"/>
      <c r="K508" s="12"/>
      <c r="N508" s="12"/>
    </row>
    <row r="509" spans="9:14" x14ac:dyDescent="0.2">
      <c r="I509" s="12"/>
      <c r="J509" s="12"/>
      <c r="K509" s="12"/>
      <c r="N509" s="12"/>
    </row>
    <row r="510" spans="9:14" x14ac:dyDescent="0.2">
      <c r="I510" s="12"/>
      <c r="J510" s="12"/>
      <c r="K510" s="12"/>
      <c r="N510" s="12"/>
    </row>
    <row r="511" spans="9:14" x14ac:dyDescent="0.2">
      <c r="I511" s="12"/>
      <c r="J511" s="12"/>
      <c r="K511" s="12"/>
      <c r="N511" s="12"/>
    </row>
    <row r="512" spans="9:14" x14ac:dyDescent="0.2">
      <c r="I512" s="12"/>
      <c r="J512" s="12"/>
      <c r="K512" s="12"/>
      <c r="N512" s="12"/>
    </row>
    <row r="513" spans="9:14" x14ac:dyDescent="0.2">
      <c r="I513" s="12"/>
      <c r="J513" s="12"/>
      <c r="K513" s="12"/>
      <c r="N513" s="12"/>
    </row>
    <row r="514" spans="9:14" x14ac:dyDescent="0.2">
      <c r="I514" s="12"/>
      <c r="J514" s="12"/>
      <c r="K514" s="12"/>
      <c r="N514" s="12"/>
    </row>
    <row r="515" spans="9:14" x14ac:dyDescent="0.2">
      <c r="I515" s="12"/>
      <c r="J515" s="12"/>
      <c r="K515" s="12"/>
      <c r="N515" s="12"/>
    </row>
    <row r="516" spans="9:14" x14ac:dyDescent="0.2">
      <c r="I516" s="12"/>
      <c r="J516" s="12"/>
      <c r="K516" s="12"/>
      <c r="N516" s="12"/>
    </row>
    <row r="517" spans="9:14" x14ac:dyDescent="0.2">
      <c r="I517" s="12"/>
      <c r="J517" s="12"/>
      <c r="K517" s="12"/>
      <c r="N517" s="12"/>
    </row>
    <row r="518" spans="9:14" x14ac:dyDescent="0.2">
      <c r="I518" s="12"/>
      <c r="J518" s="12"/>
      <c r="K518" s="12"/>
      <c r="N518" s="12"/>
    </row>
    <row r="519" spans="9:14" x14ac:dyDescent="0.2">
      <c r="I519" s="12"/>
      <c r="J519" s="12"/>
      <c r="K519" s="12"/>
      <c r="N519" s="12"/>
    </row>
    <row r="520" spans="9:14" x14ac:dyDescent="0.2">
      <c r="I520" s="12"/>
      <c r="J520" s="12"/>
      <c r="K520" s="12"/>
      <c r="N520" s="12"/>
    </row>
    <row r="521" spans="9:14" x14ac:dyDescent="0.2">
      <c r="I521" s="12"/>
      <c r="J521" s="12"/>
      <c r="K521" s="12"/>
      <c r="N521" s="12"/>
    </row>
    <row r="522" spans="9:14" x14ac:dyDescent="0.2">
      <c r="I522" s="12"/>
      <c r="J522" s="12"/>
      <c r="K522" s="12"/>
      <c r="N522" s="12"/>
    </row>
    <row r="523" spans="9:14" x14ac:dyDescent="0.2">
      <c r="I523" s="12"/>
      <c r="J523" s="12"/>
      <c r="K523" s="12"/>
      <c r="N523" s="12"/>
    </row>
    <row r="524" spans="9:14" x14ac:dyDescent="0.2">
      <c r="I524" s="12"/>
      <c r="J524" s="12"/>
      <c r="K524" s="12"/>
      <c r="N524" s="12"/>
    </row>
    <row r="525" spans="9:14" x14ac:dyDescent="0.2">
      <c r="I525" s="12"/>
      <c r="J525" s="12"/>
      <c r="K525" s="12"/>
      <c r="N525" s="12"/>
    </row>
    <row r="526" spans="9:14" x14ac:dyDescent="0.2">
      <c r="I526" s="12"/>
      <c r="J526" s="12"/>
      <c r="K526" s="12"/>
      <c r="N526" s="12"/>
    </row>
    <row r="527" spans="9:14" x14ac:dyDescent="0.2">
      <c r="I527" s="12"/>
      <c r="J527" s="12"/>
      <c r="K527" s="12"/>
      <c r="N527" s="12"/>
    </row>
    <row r="528" spans="9:14" x14ac:dyDescent="0.2">
      <c r="I528" s="12"/>
      <c r="J528" s="12"/>
      <c r="K528" s="12"/>
      <c r="N528" s="12"/>
    </row>
    <row r="529" spans="9:14" x14ac:dyDescent="0.2">
      <c r="I529" s="12"/>
      <c r="J529" s="12"/>
      <c r="K529" s="12"/>
      <c r="N529" s="12"/>
    </row>
    <row r="530" spans="9:14" x14ac:dyDescent="0.2">
      <c r="I530" s="12"/>
      <c r="J530" s="12"/>
      <c r="K530" s="12"/>
      <c r="N530" s="12"/>
    </row>
    <row r="531" spans="9:14" x14ac:dyDescent="0.2">
      <c r="I531" s="12"/>
      <c r="J531" s="12"/>
      <c r="K531" s="12"/>
      <c r="N531" s="12"/>
    </row>
    <row r="532" spans="9:14" x14ac:dyDescent="0.2">
      <c r="I532" s="12"/>
      <c r="J532" s="12"/>
      <c r="K532" s="12"/>
      <c r="N532" s="12"/>
    </row>
    <row r="533" spans="9:14" x14ac:dyDescent="0.2">
      <c r="I533" s="12"/>
      <c r="J533" s="12"/>
      <c r="K533" s="12"/>
      <c r="N533" s="12"/>
    </row>
    <row r="534" spans="9:14" x14ac:dyDescent="0.2">
      <c r="I534" s="12"/>
      <c r="J534" s="12"/>
      <c r="K534" s="12"/>
      <c r="N534" s="12"/>
    </row>
    <row r="535" spans="9:14" x14ac:dyDescent="0.2">
      <c r="I535" s="12"/>
      <c r="J535" s="12"/>
      <c r="K535" s="12"/>
      <c r="N535" s="12"/>
    </row>
    <row r="536" spans="9:14" x14ac:dyDescent="0.2">
      <c r="I536" s="12"/>
      <c r="J536" s="12"/>
      <c r="K536" s="12"/>
      <c r="N536" s="12"/>
    </row>
    <row r="537" spans="9:14" x14ac:dyDescent="0.2">
      <c r="I537" s="12"/>
      <c r="J537" s="12"/>
      <c r="K537" s="12"/>
      <c r="N537" s="12"/>
    </row>
    <row r="538" spans="9:14" x14ac:dyDescent="0.2">
      <c r="I538" s="12"/>
      <c r="J538" s="12"/>
      <c r="K538" s="12"/>
      <c r="N538" s="12"/>
    </row>
    <row r="539" spans="9:14" x14ac:dyDescent="0.2">
      <c r="I539" s="12"/>
      <c r="J539" s="12"/>
      <c r="K539" s="12"/>
      <c r="N539" s="12"/>
    </row>
    <row r="540" spans="9:14" x14ac:dyDescent="0.2">
      <c r="I540" s="12"/>
      <c r="J540" s="12"/>
      <c r="K540" s="12"/>
      <c r="N540" s="12"/>
    </row>
    <row r="541" spans="9:14" x14ac:dyDescent="0.2">
      <c r="I541" s="12"/>
      <c r="J541" s="12"/>
      <c r="K541" s="12"/>
      <c r="N541" s="12"/>
    </row>
    <row r="542" spans="9:14" x14ac:dyDescent="0.2">
      <c r="I542" s="12"/>
      <c r="J542" s="12"/>
      <c r="K542" s="12"/>
      <c r="N542" s="12"/>
    </row>
    <row r="543" spans="9:14" x14ac:dyDescent="0.2">
      <c r="I543" s="12"/>
      <c r="J543" s="12"/>
      <c r="K543" s="12"/>
      <c r="N543" s="12"/>
    </row>
    <row r="544" spans="9:14" x14ac:dyDescent="0.2">
      <c r="I544" s="12"/>
      <c r="J544" s="12"/>
      <c r="K544" s="12"/>
      <c r="N544" s="12"/>
    </row>
    <row r="545" spans="9:14" x14ac:dyDescent="0.2">
      <c r="I545" s="12"/>
      <c r="J545" s="12"/>
      <c r="K545" s="12"/>
      <c r="N545" s="12"/>
    </row>
    <row r="546" spans="9:14" x14ac:dyDescent="0.2">
      <c r="I546" s="12"/>
      <c r="J546" s="12"/>
      <c r="K546" s="12"/>
      <c r="N546" s="12"/>
    </row>
    <row r="547" spans="9:14" x14ac:dyDescent="0.2">
      <c r="I547" s="12"/>
      <c r="J547" s="12"/>
      <c r="K547" s="12"/>
      <c r="N547" s="12"/>
    </row>
    <row r="548" spans="9:14" x14ac:dyDescent="0.2">
      <c r="I548" s="12"/>
      <c r="J548" s="12"/>
      <c r="K548" s="12"/>
      <c r="N548" s="12"/>
    </row>
    <row r="549" spans="9:14" x14ac:dyDescent="0.2">
      <c r="I549" s="12"/>
      <c r="J549" s="12"/>
      <c r="K549" s="12"/>
      <c r="N549" s="12"/>
    </row>
    <row r="550" spans="9:14" x14ac:dyDescent="0.2">
      <c r="I550" s="12"/>
      <c r="J550" s="12"/>
      <c r="K550" s="12"/>
      <c r="N550" s="12"/>
    </row>
    <row r="551" spans="9:14" x14ac:dyDescent="0.2">
      <c r="I551" s="12"/>
      <c r="J551" s="12"/>
      <c r="K551" s="12"/>
      <c r="N551" s="12"/>
    </row>
    <row r="552" spans="9:14" x14ac:dyDescent="0.2">
      <c r="I552" s="12"/>
      <c r="J552" s="12"/>
      <c r="K552" s="12"/>
      <c r="N552" s="12"/>
    </row>
    <row r="553" spans="9:14" x14ac:dyDescent="0.2">
      <c r="I553" s="12"/>
      <c r="J553" s="12"/>
      <c r="K553" s="12"/>
      <c r="N553" s="12"/>
    </row>
    <row r="554" spans="9:14" x14ac:dyDescent="0.2">
      <c r="I554" s="12"/>
      <c r="J554" s="12"/>
      <c r="K554" s="12"/>
      <c r="N554" s="12"/>
    </row>
    <row r="555" spans="9:14" x14ac:dyDescent="0.2">
      <c r="I555" s="12"/>
      <c r="J555" s="12"/>
      <c r="K555" s="12"/>
      <c r="N555" s="12"/>
    </row>
    <row r="556" spans="9:14" x14ac:dyDescent="0.2">
      <c r="I556" s="12"/>
      <c r="J556" s="12"/>
      <c r="K556" s="12"/>
      <c r="N556" s="12"/>
    </row>
    <row r="557" spans="9:14" x14ac:dyDescent="0.2">
      <c r="I557" s="12"/>
      <c r="J557" s="12"/>
      <c r="K557" s="12"/>
      <c r="N557" s="12"/>
    </row>
    <row r="558" spans="9:14" x14ac:dyDescent="0.2">
      <c r="I558" s="12"/>
      <c r="J558" s="12"/>
      <c r="K558" s="12"/>
      <c r="N558" s="12"/>
    </row>
    <row r="559" spans="9:14" x14ac:dyDescent="0.2">
      <c r="I559" s="12"/>
      <c r="J559" s="12"/>
      <c r="K559" s="12"/>
      <c r="N559" s="12"/>
    </row>
    <row r="560" spans="9:14" x14ac:dyDescent="0.2">
      <c r="I560" s="12"/>
      <c r="J560" s="12"/>
      <c r="K560" s="12"/>
      <c r="N560" s="12"/>
    </row>
    <row r="561" spans="9:14" x14ac:dyDescent="0.2">
      <c r="I561" s="12"/>
      <c r="J561" s="12"/>
      <c r="K561" s="12"/>
      <c r="N561" s="12"/>
    </row>
    <row r="562" spans="9:14" x14ac:dyDescent="0.2">
      <c r="I562" s="12"/>
      <c r="J562" s="12"/>
      <c r="K562" s="12"/>
      <c r="N562" s="12"/>
    </row>
    <row r="563" spans="9:14" x14ac:dyDescent="0.2">
      <c r="I563" s="12"/>
      <c r="J563" s="12"/>
      <c r="K563" s="12"/>
      <c r="N563" s="12"/>
    </row>
    <row r="564" spans="9:14" x14ac:dyDescent="0.2">
      <c r="I564" s="12"/>
      <c r="J564" s="12"/>
      <c r="K564" s="12"/>
      <c r="N564" s="12"/>
    </row>
    <row r="565" spans="9:14" x14ac:dyDescent="0.2">
      <c r="I565" s="12"/>
      <c r="J565" s="12"/>
      <c r="K565" s="12"/>
      <c r="N565" s="12"/>
    </row>
    <row r="566" spans="9:14" x14ac:dyDescent="0.2">
      <c r="I566" s="12"/>
      <c r="J566" s="12"/>
      <c r="K566" s="12"/>
      <c r="N566" s="12"/>
    </row>
    <row r="567" spans="9:14" x14ac:dyDescent="0.2">
      <c r="I567" s="12"/>
      <c r="J567" s="12"/>
      <c r="K567" s="12"/>
      <c r="N567" s="12"/>
    </row>
    <row r="568" spans="9:14" x14ac:dyDescent="0.2">
      <c r="I568" s="12"/>
      <c r="J568" s="12"/>
      <c r="K568" s="12"/>
      <c r="N568" s="12"/>
    </row>
    <row r="569" spans="9:14" x14ac:dyDescent="0.2">
      <c r="I569" s="12"/>
      <c r="J569" s="12"/>
      <c r="K569" s="12"/>
      <c r="N569" s="12"/>
    </row>
    <row r="570" spans="9:14" x14ac:dyDescent="0.2">
      <c r="I570" s="12"/>
      <c r="J570" s="12"/>
      <c r="K570" s="12"/>
      <c r="N570" s="12"/>
    </row>
    <row r="571" spans="9:14" x14ac:dyDescent="0.2">
      <c r="I571" s="12"/>
      <c r="J571" s="12"/>
      <c r="K571" s="12"/>
      <c r="N571" s="12"/>
    </row>
    <row r="572" spans="9:14" x14ac:dyDescent="0.2">
      <c r="I572" s="12"/>
      <c r="J572" s="12"/>
      <c r="K572" s="12"/>
      <c r="N572" s="12"/>
    </row>
    <row r="573" spans="9:14" x14ac:dyDescent="0.2">
      <c r="I573" s="12"/>
      <c r="J573" s="12"/>
      <c r="K573" s="12"/>
      <c r="N573" s="12"/>
    </row>
    <row r="574" spans="9:14" x14ac:dyDescent="0.2">
      <c r="I574" s="12"/>
      <c r="J574" s="12"/>
      <c r="K574" s="12"/>
      <c r="N574" s="12"/>
    </row>
    <row r="575" spans="9:14" x14ac:dyDescent="0.2">
      <c r="I575" s="12"/>
      <c r="J575" s="12"/>
      <c r="K575" s="12"/>
      <c r="N575" s="12"/>
    </row>
    <row r="576" spans="9:14" x14ac:dyDescent="0.2">
      <c r="I576" s="12"/>
      <c r="J576" s="12"/>
      <c r="K576" s="12"/>
      <c r="N576" s="12"/>
    </row>
    <row r="577" spans="9:14" x14ac:dyDescent="0.2">
      <c r="I577" s="12"/>
      <c r="J577" s="12"/>
      <c r="K577" s="12"/>
      <c r="N577" s="12"/>
    </row>
    <row r="578" spans="9:14" x14ac:dyDescent="0.2">
      <c r="I578" s="12"/>
      <c r="J578" s="12"/>
      <c r="K578" s="12"/>
      <c r="N578" s="12"/>
    </row>
    <row r="579" spans="9:14" x14ac:dyDescent="0.2">
      <c r="I579" s="12"/>
      <c r="J579" s="12"/>
      <c r="K579" s="12"/>
      <c r="N579" s="12"/>
    </row>
    <row r="580" spans="9:14" x14ac:dyDescent="0.2">
      <c r="I580" s="12"/>
      <c r="J580" s="12"/>
      <c r="K580" s="12"/>
      <c r="N580" s="12"/>
    </row>
    <row r="581" spans="9:14" x14ac:dyDescent="0.2">
      <c r="I581" s="12"/>
      <c r="J581" s="12"/>
      <c r="K581" s="12"/>
      <c r="N581" s="12"/>
    </row>
    <row r="582" spans="9:14" x14ac:dyDescent="0.2">
      <c r="I582" s="12"/>
      <c r="J582" s="12"/>
      <c r="K582" s="12"/>
      <c r="N582" s="12"/>
    </row>
    <row r="583" spans="9:14" x14ac:dyDescent="0.2">
      <c r="I583" s="12"/>
      <c r="J583" s="12"/>
      <c r="K583" s="12"/>
      <c r="N583" s="12"/>
    </row>
    <row r="584" spans="9:14" x14ac:dyDescent="0.2">
      <c r="I584" s="12"/>
      <c r="J584" s="12"/>
      <c r="K584" s="12"/>
      <c r="N584" s="12"/>
    </row>
    <row r="585" spans="9:14" x14ac:dyDescent="0.2">
      <c r="I585" s="12"/>
      <c r="J585" s="12"/>
      <c r="K585" s="12"/>
      <c r="N585" s="12"/>
    </row>
    <row r="586" spans="9:14" x14ac:dyDescent="0.2">
      <c r="I586" s="12"/>
      <c r="J586" s="12"/>
      <c r="K586" s="12"/>
      <c r="N586" s="12"/>
    </row>
    <row r="587" spans="9:14" x14ac:dyDescent="0.2">
      <c r="I587" s="12"/>
      <c r="J587" s="12"/>
      <c r="K587" s="12"/>
      <c r="N587" s="12"/>
    </row>
    <row r="588" spans="9:14" x14ac:dyDescent="0.2">
      <c r="I588" s="12"/>
      <c r="J588" s="12"/>
      <c r="K588" s="12"/>
      <c r="N588" s="12"/>
    </row>
    <row r="589" spans="9:14" x14ac:dyDescent="0.2">
      <c r="I589" s="12"/>
      <c r="J589" s="12"/>
      <c r="K589" s="12"/>
      <c r="N589" s="12"/>
    </row>
    <row r="590" spans="9:14" x14ac:dyDescent="0.2">
      <c r="I590" s="12"/>
      <c r="J590" s="12"/>
      <c r="K590" s="12"/>
      <c r="N590" s="12"/>
    </row>
    <row r="591" spans="9:14" x14ac:dyDescent="0.2">
      <c r="I591" s="12"/>
      <c r="J591" s="12"/>
      <c r="K591" s="12"/>
      <c r="N591" s="12"/>
    </row>
    <row r="592" spans="9:14" x14ac:dyDescent="0.2">
      <c r="I592" s="12"/>
      <c r="J592" s="12"/>
      <c r="K592" s="12"/>
      <c r="N592" s="12"/>
    </row>
    <row r="593" spans="9:14" x14ac:dyDescent="0.2">
      <c r="I593" s="12"/>
      <c r="J593" s="12"/>
      <c r="K593" s="12"/>
      <c r="N593" s="12"/>
    </row>
    <row r="594" spans="9:14" x14ac:dyDescent="0.2">
      <c r="I594" s="12"/>
      <c r="J594" s="12"/>
      <c r="K594" s="12"/>
      <c r="N594" s="12"/>
    </row>
    <row r="595" spans="9:14" x14ac:dyDescent="0.2">
      <c r="I595" s="12"/>
      <c r="J595" s="12"/>
      <c r="K595" s="12"/>
      <c r="N595" s="12"/>
    </row>
    <row r="596" spans="9:14" x14ac:dyDescent="0.2">
      <c r="I596" s="12"/>
      <c r="J596" s="12"/>
      <c r="K596" s="12"/>
      <c r="N596" s="12"/>
    </row>
    <row r="597" spans="9:14" x14ac:dyDescent="0.2">
      <c r="I597" s="12"/>
      <c r="J597" s="12"/>
      <c r="K597" s="12"/>
      <c r="N597" s="12"/>
    </row>
    <row r="598" spans="9:14" x14ac:dyDescent="0.2">
      <c r="I598" s="12"/>
      <c r="J598" s="12"/>
      <c r="K598" s="12"/>
      <c r="N598" s="12"/>
    </row>
    <row r="599" spans="9:14" x14ac:dyDescent="0.2">
      <c r="I599" s="12"/>
      <c r="J599" s="12"/>
      <c r="K599" s="12"/>
      <c r="N599" s="12"/>
    </row>
    <row r="600" spans="9:14" x14ac:dyDescent="0.2">
      <c r="I600" s="12"/>
      <c r="J600" s="12"/>
      <c r="K600" s="12"/>
      <c r="N600" s="12"/>
    </row>
    <row r="601" spans="9:14" x14ac:dyDescent="0.2">
      <c r="I601" s="12"/>
      <c r="J601" s="12"/>
      <c r="K601" s="12"/>
      <c r="N601" s="12"/>
    </row>
    <row r="602" spans="9:14" x14ac:dyDescent="0.2">
      <c r="I602" s="12"/>
      <c r="J602" s="12"/>
      <c r="K602" s="12"/>
      <c r="N602" s="12"/>
    </row>
    <row r="603" spans="9:14" x14ac:dyDescent="0.2">
      <c r="I603" s="12"/>
      <c r="J603" s="12"/>
      <c r="K603" s="12"/>
      <c r="N603" s="12"/>
    </row>
    <row r="604" spans="9:14" x14ac:dyDescent="0.2">
      <c r="I604" s="12"/>
      <c r="J604" s="12"/>
      <c r="K604" s="12"/>
      <c r="N604" s="12"/>
    </row>
    <row r="605" spans="9:14" x14ac:dyDescent="0.2">
      <c r="I605" s="12"/>
      <c r="J605" s="12"/>
      <c r="K605" s="12"/>
      <c r="N605" s="12"/>
    </row>
    <row r="606" spans="9:14" x14ac:dyDescent="0.2">
      <c r="I606" s="12"/>
      <c r="J606" s="12"/>
      <c r="K606" s="12"/>
      <c r="N606" s="12"/>
    </row>
    <row r="607" spans="9:14" x14ac:dyDescent="0.2">
      <c r="I607" s="12"/>
      <c r="J607" s="12"/>
      <c r="K607" s="12"/>
      <c r="N607" s="12"/>
    </row>
    <row r="608" spans="9:14" x14ac:dyDescent="0.2">
      <c r="I608" s="12"/>
      <c r="J608" s="12"/>
      <c r="K608" s="12"/>
      <c r="N608" s="12"/>
    </row>
    <row r="609" spans="9:14" x14ac:dyDescent="0.2">
      <c r="I609" s="12"/>
      <c r="J609" s="12"/>
      <c r="K609" s="12"/>
      <c r="N609" s="12"/>
    </row>
    <row r="610" spans="9:14" x14ac:dyDescent="0.2">
      <c r="I610" s="12"/>
      <c r="J610" s="12"/>
      <c r="K610" s="12"/>
      <c r="N610" s="12"/>
    </row>
    <row r="611" spans="9:14" x14ac:dyDescent="0.2">
      <c r="I611" s="12"/>
      <c r="J611" s="12"/>
      <c r="K611" s="12"/>
      <c r="N611" s="12"/>
    </row>
    <row r="612" spans="9:14" x14ac:dyDescent="0.2">
      <c r="I612" s="12"/>
      <c r="J612" s="12"/>
      <c r="K612" s="12"/>
      <c r="N612" s="12"/>
    </row>
    <row r="613" spans="9:14" x14ac:dyDescent="0.2">
      <c r="I613" s="12"/>
      <c r="J613" s="12"/>
      <c r="K613" s="12"/>
      <c r="N613" s="12"/>
    </row>
    <row r="614" spans="9:14" x14ac:dyDescent="0.2">
      <c r="I614" s="12"/>
      <c r="J614" s="12"/>
      <c r="K614" s="12"/>
      <c r="N614" s="12"/>
    </row>
    <row r="615" spans="9:14" x14ac:dyDescent="0.2">
      <c r="I615" s="12"/>
      <c r="J615" s="12"/>
      <c r="K615" s="12"/>
      <c r="N615" s="12"/>
    </row>
    <row r="616" spans="9:14" x14ac:dyDescent="0.2">
      <c r="I616" s="12"/>
      <c r="J616" s="12"/>
      <c r="K616" s="12"/>
      <c r="N616" s="12"/>
    </row>
    <row r="617" spans="9:14" x14ac:dyDescent="0.2">
      <c r="I617" s="12"/>
      <c r="J617" s="12"/>
      <c r="K617" s="12"/>
      <c r="N617" s="12"/>
    </row>
    <row r="618" spans="9:14" x14ac:dyDescent="0.2">
      <c r="I618" s="12"/>
      <c r="J618" s="12"/>
      <c r="K618" s="12"/>
      <c r="N618" s="12"/>
    </row>
    <row r="619" spans="9:14" x14ac:dyDescent="0.2">
      <c r="I619" s="12"/>
      <c r="J619" s="12"/>
      <c r="K619" s="12"/>
      <c r="N619" s="12"/>
    </row>
    <row r="620" spans="9:14" x14ac:dyDescent="0.2">
      <c r="I620" s="12"/>
      <c r="J620" s="12"/>
      <c r="K620" s="12"/>
      <c r="N620" s="12"/>
    </row>
    <row r="621" spans="9:14" x14ac:dyDescent="0.2">
      <c r="I621" s="12"/>
      <c r="J621" s="12"/>
      <c r="K621" s="12"/>
      <c r="N621" s="12"/>
    </row>
    <row r="622" spans="9:14" x14ac:dyDescent="0.2">
      <c r="I622" s="12"/>
      <c r="J622" s="12"/>
      <c r="K622" s="12"/>
      <c r="N622" s="12"/>
    </row>
    <row r="623" spans="9:14" x14ac:dyDescent="0.2">
      <c r="I623" s="12"/>
      <c r="J623" s="12"/>
      <c r="K623" s="12"/>
      <c r="N623" s="12"/>
    </row>
    <row r="624" spans="9:14" x14ac:dyDescent="0.2">
      <c r="I624" s="12"/>
      <c r="J624" s="12"/>
      <c r="K624" s="12"/>
      <c r="N624" s="12"/>
    </row>
    <row r="625" spans="9:14" x14ac:dyDescent="0.2">
      <c r="I625" s="12"/>
      <c r="J625" s="12"/>
      <c r="K625" s="12"/>
      <c r="N625" s="12"/>
    </row>
    <row r="626" spans="9:14" x14ac:dyDescent="0.2">
      <c r="I626" s="12"/>
      <c r="J626" s="12"/>
      <c r="K626" s="12"/>
      <c r="N626" s="12"/>
    </row>
    <row r="627" spans="9:14" x14ac:dyDescent="0.2">
      <c r="I627" s="12"/>
      <c r="J627" s="12"/>
      <c r="K627" s="12"/>
      <c r="N627" s="12"/>
    </row>
    <row r="628" spans="9:14" x14ac:dyDescent="0.2">
      <c r="I628" s="12"/>
      <c r="J628" s="12"/>
      <c r="K628" s="12"/>
      <c r="N628" s="12"/>
    </row>
    <row r="629" spans="9:14" x14ac:dyDescent="0.2">
      <c r="I629" s="12"/>
      <c r="J629" s="12"/>
      <c r="K629" s="12"/>
      <c r="N629" s="12"/>
    </row>
    <row r="630" spans="9:14" x14ac:dyDescent="0.2">
      <c r="I630" s="12"/>
      <c r="J630" s="12"/>
      <c r="K630" s="12"/>
      <c r="N630" s="12"/>
    </row>
    <row r="631" spans="9:14" x14ac:dyDescent="0.2">
      <c r="I631" s="12"/>
      <c r="J631" s="12"/>
      <c r="K631" s="12"/>
      <c r="N631" s="12"/>
    </row>
    <row r="632" spans="9:14" x14ac:dyDescent="0.2">
      <c r="I632" s="12"/>
      <c r="J632" s="12"/>
      <c r="K632" s="12"/>
      <c r="N632" s="12"/>
    </row>
    <row r="633" spans="9:14" x14ac:dyDescent="0.2">
      <c r="I633" s="12"/>
      <c r="J633" s="12"/>
      <c r="K633" s="12"/>
      <c r="N633" s="12"/>
    </row>
    <row r="634" spans="9:14" x14ac:dyDescent="0.2">
      <c r="I634" s="12"/>
      <c r="J634" s="12"/>
      <c r="K634" s="12"/>
      <c r="N634" s="12"/>
    </row>
    <row r="635" spans="9:14" x14ac:dyDescent="0.2">
      <c r="I635" s="12"/>
      <c r="J635" s="12"/>
      <c r="K635" s="12"/>
      <c r="N635" s="12"/>
    </row>
    <row r="636" spans="9:14" x14ac:dyDescent="0.2">
      <c r="I636" s="12"/>
      <c r="J636" s="12"/>
      <c r="K636" s="12"/>
      <c r="N636" s="12"/>
    </row>
    <row r="637" spans="9:14" x14ac:dyDescent="0.2">
      <c r="I637" s="12"/>
      <c r="J637" s="12"/>
      <c r="K637" s="12"/>
      <c r="N637" s="12"/>
    </row>
    <row r="638" spans="9:14" x14ac:dyDescent="0.2">
      <c r="I638" s="12"/>
      <c r="J638" s="12"/>
      <c r="K638" s="12"/>
      <c r="N638" s="12"/>
    </row>
    <row r="639" spans="9:14" x14ac:dyDescent="0.2">
      <c r="I639" s="12"/>
      <c r="J639" s="12"/>
      <c r="K639" s="12"/>
      <c r="N639" s="12"/>
    </row>
    <row r="640" spans="9:14" x14ac:dyDescent="0.2">
      <c r="I640" s="12"/>
      <c r="J640" s="12"/>
      <c r="K640" s="12"/>
      <c r="N640" s="12"/>
    </row>
    <row r="641" spans="9:14" x14ac:dyDescent="0.2">
      <c r="I641" s="12"/>
      <c r="J641" s="12"/>
      <c r="K641" s="12"/>
      <c r="N641" s="12"/>
    </row>
    <row r="642" spans="9:14" x14ac:dyDescent="0.2">
      <c r="I642" s="12"/>
      <c r="J642" s="12"/>
      <c r="K642" s="12"/>
      <c r="N642" s="12"/>
    </row>
    <row r="643" spans="9:14" x14ac:dyDescent="0.2">
      <c r="I643" s="12"/>
      <c r="J643" s="12"/>
      <c r="K643" s="12"/>
      <c r="N643" s="12"/>
    </row>
    <row r="644" spans="9:14" x14ac:dyDescent="0.2">
      <c r="I644" s="12"/>
      <c r="J644" s="12"/>
      <c r="K644" s="12"/>
      <c r="N644" s="12"/>
    </row>
    <row r="645" spans="9:14" x14ac:dyDescent="0.2">
      <c r="I645" s="12"/>
      <c r="J645" s="12"/>
      <c r="K645" s="12"/>
      <c r="N645" s="12"/>
    </row>
    <row r="646" spans="9:14" x14ac:dyDescent="0.2">
      <c r="I646" s="12"/>
      <c r="J646" s="12"/>
      <c r="K646" s="12"/>
      <c r="N646" s="12"/>
    </row>
    <row r="647" spans="9:14" x14ac:dyDescent="0.2">
      <c r="I647" s="12"/>
      <c r="J647" s="12"/>
      <c r="K647" s="12"/>
      <c r="N647" s="12"/>
    </row>
    <row r="648" spans="9:14" x14ac:dyDescent="0.2">
      <c r="I648" s="12"/>
      <c r="J648" s="12"/>
      <c r="K648" s="12"/>
      <c r="N648" s="12"/>
    </row>
    <row r="649" spans="9:14" x14ac:dyDescent="0.2">
      <c r="I649" s="12"/>
      <c r="J649" s="12"/>
      <c r="K649" s="12"/>
      <c r="N649" s="12"/>
    </row>
    <row r="650" spans="9:14" x14ac:dyDescent="0.2">
      <c r="I650" s="12"/>
      <c r="J650" s="12"/>
      <c r="K650" s="12"/>
      <c r="N650" s="12"/>
    </row>
    <row r="651" spans="9:14" x14ac:dyDescent="0.2">
      <c r="I651" s="12"/>
      <c r="J651" s="12"/>
      <c r="K651" s="12"/>
      <c r="N651" s="12"/>
    </row>
    <row r="652" spans="9:14" x14ac:dyDescent="0.2">
      <c r="I652" s="12"/>
      <c r="J652" s="12"/>
      <c r="K652" s="12"/>
      <c r="N652" s="12"/>
    </row>
    <row r="653" spans="9:14" x14ac:dyDescent="0.2">
      <c r="I653" s="12"/>
      <c r="J653" s="12"/>
      <c r="K653" s="12"/>
      <c r="N653" s="12"/>
    </row>
    <row r="654" spans="9:14" x14ac:dyDescent="0.2">
      <c r="I654" s="12"/>
      <c r="J654" s="12"/>
      <c r="K654" s="12"/>
      <c r="N654" s="12"/>
    </row>
    <row r="655" spans="9:14" x14ac:dyDescent="0.2">
      <c r="I655" s="12"/>
      <c r="J655" s="12"/>
      <c r="K655" s="12"/>
      <c r="N655" s="12"/>
    </row>
    <row r="656" spans="9:14" x14ac:dyDescent="0.2">
      <c r="I656" s="12"/>
      <c r="J656" s="12"/>
      <c r="K656" s="12"/>
      <c r="N656" s="12"/>
    </row>
    <row r="657" spans="9:14" x14ac:dyDescent="0.2">
      <c r="I657" s="12"/>
      <c r="J657" s="12"/>
      <c r="K657" s="12"/>
      <c r="N657" s="12"/>
    </row>
    <row r="658" spans="9:14" x14ac:dyDescent="0.2">
      <c r="I658" s="12"/>
      <c r="J658" s="12"/>
      <c r="K658" s="12"/>
      <c r="N658" s="12"/>
    </row>
    <row r="659" spans="9:14" x14ac:dyDescent="0.2">
      <c r="I659" s="12"/>
      <c r="J659" s="12"/>
      <c r="K659" s="12"/>
      <c r="N659" s="12"/>
    </row>
    <row r="660" spans="9:14" x14ac:dyDescent="0.2">
      <c r="I660" s="12"/>
      <c r="J660" s="12"/>
      <c r="K660" s="12"/>
      <c r="N660" s="12"/>
    </row>
    <row r="661" spans="9:14" x14ac:dyDescent="0.2">
      <c r="I661" s="12"/>
      <c r="J661" s="12"/>
      <c r="K661" s="12"/>
      <c r="N661" s="12"/>
    </row>
    <row r="662" spans="9:14" x14ac:dyDescent="0.2">
      <c r="I662" s="12"/>
      <c r="J662" s="12"/>
      <c r="K662" s="12"/>
      <c r="N662" s="12"/>
    </row>
    <row r="663" spans="9:14" x14ac:dyDescent="0.2">
      <c r="I663" s="12"/>
      <c r="J663" s="12"/>
      <c r="K663" s="12"/>
      <c r="N663" s="12"/>
    </row>
    <row r="664" spans="9:14" x14ac:dyDescent="0.2">
      <c r="I664" s="12"/>
      <c r="J664" s="12"/>
      <c r="K664" s="12"/>
      <c r="N664" s="12"/>
    </row>
    <row r="665" spans="9:14" x14ac:dyDescent="0.2">
      <c r="I665" s="12"/>
      <c r="J665" s="12"/>
      <c r="K665" s="12"/>
      <c r="N665" s="12"/>
    </row>
    <row r="666" spans="9:14" x14ac:dyDescent="0.2">
      <c r="I666" s="12"/>
      <c r="J666" s="12"/>
      <c r="K666" s="12"/>
      <c r="N666" s="12"/>
    </row>
    <row r="667" spans="9:14" x14ac:dyDescent="0.2">
      <c r="I667" s="12"/>
      <c r="J667" s="12"/>
      <c r="K667" s="12"/>
      <c r="N667" s="12"/>
    </row>
    <row r="668" spans="9:14" x14ac:dyDescent="0.2">
      <c r="I668" s="12"/>
      <c r="J668" s="12"/>
      <c r="K668" s="12"/>
      <c r="N668" s="12"/>
    </row>
    <row r="669" spans="9:14" x14ac:dyDescent="0.2">
      <c r="I669" s="12"/>
      <c r="J669" s="12"/>
      <c r="K669" s="12"/>
      <c r="N669" s="12"/>
    </row>
    <row r="670" spans="9:14" x14ac:dyDescent="0.2">
      <c r="I670" s="12"/>
      <c r="J670" s="12"/>
      <c r="K670" s="12"/>
      <c r="N670" s="12"/>
    </row>
    <row r="671" spans="9:14" x14ac:dyDescent="0.2">
      <c r="I671" s="12"/>
      <c r="J671" s="12"/>
      <c r="K671" s="12"/>
      <c r="N671" s="12"/>
    </row>
    <row r="672" spans="9:14" x14ac:dyDescent="0.2">
      <c r="I672" s="12"/>
      <c r="J672" s="12"/>
      <c r="K672" s="12"/>
      <c r="N672" s="12"/>
    </row>
    <row r="673" spans="9:14" x14ac:dyDescent="0.2">
      <c r="I673" s="12"/>
      <c r="J673" s="12"/>
      <c r="K673" s="12"/>
      <c r="N673" s="12"/>
    </row>
    <row r="674" spans="9:14" x14ac:dyDescent="0.2">
      <c r="I674" s="12"/>
      <c r="J674" s="12"/>
      <c r="K674" s="12"/>
      <c r="N674" s="12"/>
    </row>
    <row r="675" spans="9:14" x14ac:dyDescent="0.2">
      <c r="I675" s="12"/>
      <c r="J675" s="12"/>
      <c r="K675" s="12"/>
      <c r="N675" s="12"/>
    </row>
    <row r="676" spans="9:14" x14ac:dyDescent="0.2">
      <c r="I676" s="12"/>
      <c r="J676" s="12"/>
      <c r="K676" s="12"/>
      <c r="N676" s="12"/>
    </row>
    <row r="677" spans="9:14" x14ac:dyDescent="0.2">
      <c r="I677" s="12"/>
      <c r="J677" s="12"/>
      <c r="K677" s="12"/>
      <c r="N677" s="12"/>
    </row>
    <row r="678" spans="9:14" x14ac:dyDescent="0.2">
      <c r="I678" s="12"/>
      <c r="J678" s="12"/>
      <c r="K678" s="12"/>
      <c r="N678" s="12"/>
    </row>
    <row r="679" spans="9:14" x14ac:dyDescent="0.2">
      <c r="I679" s="12"/>
      <c r="J679" s="12"/>
      <c r="K679" s="12"/>
      <c r="N679" s="12"/>
    </row>
    <row r="680" spans="9:14" x14ac:dyDescent="0.2">
      <c r="I680" s="12"/>
      <c r="J680" s="12"/>
      <c r="K680" s="12"/>
      <c r="N680" s="12"/>
    </row>
    <row r="681" spans="9:14" x14ac:dyDescent="0.2">
      <c r="I681" s="12"/>
      <c r="J681" s="12"/>
      <c r="K681" s="12"/>
      <c r="N681" s="12"/>
    </row>
    <row r="682" spans="9:14" x14ac:dyDescent="0.2">
      <c r="I682" s="12"/>
      <c r="J682" s="12"/>
      <c r="K682" s="12"/>
      <c r="N682" s="12"/>
    </row>
    <row r="683" spans="9:14" x14ac:dyDescent="0.2">
      <c r="I683" s="12"/>
      <c r="J683" s="12"/>
      <c r="K683" s="12"/>
      <c r="N683" s="12"/>
    </row>
    <row r="684" spans="9:14" x14ac:dyDescent="0.2">
      <c r="I684" s="12"/>
      <c r="J684" s="12"/>
      <c r="K684" s="12"/>
      <c r="N684" s="12"/>
    </row>
    <row r="685" spans="9:14" x14ac:dyDescent="0.2">
      <c r="I685" s="12"/>
      <c r="J685" s="12"/>
      <c r="K685" s="12"/>
      <c r="N685" s="12"/>
    </row>
    <row r="686" spans="9:14" x14ac:dyDescent="0.2">
      <c r="I686" s="12"/>
      <c r="J686" s="12"/>
      <c r="K686" s="12"/>
      <c r="N686" s="12"/>
    </row>
    <row r="687" spans="9:14" x14ac:dyDescent="0.2">
      <c r="I687" s="12"/>
      <c r="J687" s="12"/>
      <c r="K687" s="12"/>
      <c r="N687" s="12"/>
    </row>
    <row r="688" spans="9:14" x14ac:dyDescent="0.2">
      <c r="I688" s="12"/>
      <c r="J688" s="12"/>
      <c r="K688" s="12"/>
      <c r="N688" s="12"/>
    </row>
    <row r="689" spans="9:14" x14ac:dyDescent="0.2">
      <c r="I689" s="12"/>
      <c r="J689" s="12"/>
      <c r="K689" s="12"/>
      <c r="N689" s="12"/>
    </row>
    <row r="690" spans="9:14" x14ac:dyDescent="0.2">
      <c r="I690" s="12"/>
      <c r="J690" s="12"/>
      <c r="K690" s="12"/>
      <c r="N690" s="12"/>
    </row>
    <row r="691" spans="9:14" x14ac:dyDescent="0.2">
      <c r="I691" s="12"/>
      <c r="J691" s="12"/>
      <c r="K691" s="12"/>
      <c r="N691" s="12"/>
    </row>
    <row r="692" spans="9:14" x14ac:dyDescent="0.2">
      <c r="I692" s="12"/>
      <c r="J692" s="12"/>
      <c r="K692" s="12"/>
      <c r="N692" s="12"/>
    </row>
    <row r="693" spans="9:14" x14ac:dyDescent="0.2">
      <c r="I693" s="12"/>
      <c r="J693" s="12"/>
      <c r="K693" s="12"/>
      <c r="N693" s="12"/>
    </row>
    <row r="694" spans="9:14" x14ac:dyDescent="0.2">
      <c r="I694" s="12"/>
      <c r="J694" s="12"/>
      <c r="K694" s="12"/>
      <c r="N694" s="12"/>
    </row>
    <row r="695" spans="9:14" x14ac:dyDescent="0.2">
      <c r="I695" s="12"/>
      <c r="J695" s="12"/>
      <c r="K695" s="12"/>
      <c r="N695" s="12"/>
    </row>
    <row r="696" spans="9:14" x14ac:dyDescent="0.2">
      <c r="I696" s="12"/>
      <c r="J696" s="12"/>
      <c r="K696" s="12"/>
      <c r="N696" s="12"/>
    </row>
    <row r="697" spans="9:14" x14ac:dyDescent="0.2">
      <c r="I697" s="12"/>
      <c r="J697" s="12"/>
      <c r="K697" s="12"/>
      <c r="N697" s="12"/>
    </row>
    <row r="698" spans="9:14" x14ac:dyDescent="0.2">
      <c r="I698" s="12"/>
      <c r="J698" s="12"/>
      <c r="K698" s="12"/>
      <c r="N698" s="12"/>
    </row>
    <row r="699" spans="9:14" x14ac:dyDescent="0.2">
      <c r="I699" s="12"/>
      <c r="J699" s="12"/>
      <c r="K699" s="12"/>
      <c r="N699" s="12"/>
    </row>
    <row r="700" spans="9:14" x14ac:dyDescent="0.2">
      <c r="I700" s="12"/>
      <c r="J700" s="12"/>
      <c r="K700" s="12"/>
      <c r="N700" s="12"/>
    </row>
    <row r="701" spans="9:14" x14ac:dyDescent="0.2">
      <c r="I701" s="12"/>
      <c r="J701" s="12"/>
      <c r="K701" s="12"/>
      <c r="N701" s="12"/>
    </row>
    <row r="702" spans="9:14" x14ac:dyDescent="0.2">
      <c r="I702" s="12"/>
      <c r="J702" s="12"/>
      <c r="K702" s="12"/>
      <c r="N702" s="12"/>
    </row>
    <row r="703" spans="9:14" x14ac:dyDescent="0.2">
      <c r="I703" s="12"/>
      <c r="J703" s="12"/>
      <c r="K703" s="12"/>
      <c r="N703" s="12"/>
    </row>
    <row r="704" spans="9:14" x14ac:dyDescent="0.2">
      <c r="I704" s="12"/>
      <c r="J704" s="12"/>
      <c r="K704" s="12"/>
      <c r="N704" s="12"/>
    </row>
    <row r="705" spans="9:14" x14ac:dyDescent="0.2">
      <c r="I705" s="12"/>
      <c r="J705" s="12"/>
      <c r="K705" s="12"/>
      <c r="N705" s="12"/>
    </row>
    <row r="706" spans="9:14" x14ac:dyDescent="0.2">
      <c r="I706" s="12"/>
      <c r="J706" s="12"/>
      <c r="K706" s="12"/>
      <c r="N706" s="12"/>
    </row>
    <row r="707" spans="9:14" x14ac:dyDescent="0.2">
      <c r="I707" s="12"/>
      <c r="J707" s="12"/>
      <c r="K707" s="12"/>
      <c r="N707" s="12"/>
    </row>
    <row r="708" spans="9:14" x14ac:dyDescent="0.2">
      <c r="I708" s="12"/>
      <c r="J708" s="12"/>
      <c r="K708" s="12"/>
      <c r="N708" s="12"/>
    </row>
    <row r="709" spans="9:14" x14ac:dyDescent="0.2">
      <c r="I709" s="12"/>
      <c r="J709" s="12"/>
      <c r="K709" s="12"/>
      <c r="N709" s="12"/>
    </row>
    <row r="710" spans="9:14" x14ac:dyDescent="0.2">
      <c r="I710" s="12"/>
      <c r="J710" s="12"/>
      <c r="K710" s="12"/>
      <c r="N710" s="12"/>
    </row>
    <row r="711" spans="9:14" x14ac:dyDescent="0.2">
      <c r="I711" s="12"/>
      <c r="J711" s="12"/>
      <c r="K711" s="12"/>
      <c r="N711" s="12"/>
    </row>
    <row r="712" spans="9:14" x14ac:dyDescent="0.2">
      <c r="I712" s="12"/>
      <c r="J712" s="12"/>
      <c r="K712" s="12"/>
      <c r="N712" s="12"/>
    </row>
    <row r="713" spans="9:14" x14ac:dyDescent="0.2">
      <c r="I713" s="12"/>
      <c r="J713" s="12"/>
      <c r="K713" s="12"/>
      <c r="N713" s="12"/>
    </row>
    <row r="714" spans="9:14" x14ac:dyDescent="0.2">
      <c r="I714" s="12"/>
      <c r="J714" s="12"/>
      <c r="K714" s="12"/>
      <c r="N714" s="12"/>
    </row>
    <row r="715" spans="9:14" x14ac:dyDescent="0.2">
      <c r="I715" s="12"/>
      <c r="J715" s="12"/>
      <c r="K715" s="12"/>
      <c r="N715" s="12"/>
    </row>
    <row r="716" spans="9:14" x14ac:dyDescent="0.2">
      <c r="I716" s="12"/>
      <c r="J716" s="12"/>
      <c r="K716" s="12"/>
      <c r="N716" s="12"/>
    </row>
    <row r="717" spans="9:14" x14ac:dyDescent="0.2">
      <c r="I717" s="12"/>
      <c r="J717" s="12"/>
      <c r="K717" s="12"/>
      <c r="N717" s="12"/>
    </row>
    <row r="718" spans="9:14" x14ac:dyDescent="0.2">
      <c r="I718" s="12"/>
      <c r="J718" s="12"/>
      <c r="K718" s="12"/>
      <c r="N718" s="12"/>
    </row>
    <row r="719" spans="9:14" x14ac:dyDescent="0.2">
      <c r="I719" s="12"/>
      <c r="J719" s="12"/>
      <c r="K719" s="12"/>
      <c r="N719" s="12"/>
    </row>
    <row r="720" spans="9:14" x14ac:dyDescent="0.2">
      <c r="I720" s="12"/>
      <c r="J720" s="12"/>
      <c r="K720" s="12"/>
      <c r="N720" s="12"/>
    </row>
    <row r="721" spans="9:14" x14ac:dyDescent="0.2">
      <c r="I721" s="12"/>
      <c r="J721" s="12"/>
      <c r="K721" s="12"/>
      <c r="N721" s="12"/>
    </row>
    <row r="722" spans="9:14" x14ac:dyDescent="0.2">
      <c r="I722" s="12"/>
      <c r="J722" s="12"/>
      <c r="K722" s="12"/>
      <c r="N722" s="12"/>
    </row>
    <row r="723" spans="9:14" x14ac:dyDescent="0.2">
      <c r="I723" s="12"/>
      <c r="J723" s="12"/>
      <c r="K723" s="12"/>
      <c r="N723" s="12"/>
    </row>
    <row r="724" spans="9:14" x14ac:dyDescent="0.2">
      <c r="I724" s="12"/>
      <c r="J724" s="12"/>
      <c r="K724" s="12"/>
      <c r="N724" s="12"/>
    </row>
    <row r="725" spans="9:14" x14ac:dyDescent="0.2">
      <c r="I725" s="12"/>
      <c r="J725" s="12"/>
      <c r="K725" s="12"/>
      <c r="N725" s="12"/>
    </row>
    <row r="726" spans="9:14" x14ac:dyDescent="0.2">
      <c r="I726" s="12"/>
      <c r="J726" s="12"/>
      <c r="K726" s="12"/>
      <c r="N726" s="12"/>
    </row>
    <row r="727" spans="9:14" x14ac:dyDescent="0.2">
      <c r="I727" s="12"/>
      <c r="J727" s="12"/>
      <c r="K727" s="12"/>
      <c r="N727" s="12"/>
    </row>
    <row r="728" spans="9:14" x14ac:dyDescent="0.2">
      <c r="I728" s="12"/>
      <c r="J728" s="12"/>
      <c r="K728" s="12"/>
      <c r="N728" s="12"/>
    </row>
    <row r="729" spans="9:14" x14ac:dyDescent="0.2">
      <c r="I729" s="12"/>
      <c r="J729" s="12"/>
      <c r="K729" s="12"/>
      <c r="N729" s="12"/>
    </row>
    <row r="730" spans="9:14" x14ac:dyDescent="0.2">
      <c r="I730" s="12"/>
      <c r="J730" s="12"/>
      <c r="K730" s="12"/>
      <c r="N730" s="12"/>
    </row>
    <row r="731" spans="9:14" x14ac:dyDescent="0.2">
      <c r="I731" s="12"/>
      <c r="J731" s="12"/>
      <c r="K731" s="12"/>
      <c r="N731" s="12"/>
    </row>
    <row r="732" spans="9:14" x14ac:dyDescent="0.2">
      <c r="I732" s="12"/>
      <c r="J732" s="12"/>
      <c r="K732" s="12"/>
      <c r="N732" s="12"/>
    </row>
    <row r="733" spans="9:14" x14ac:dyDescent="0.2">
      <c r="I733" s="12"/>
      <c r="J733" s="12"/>
      <c r="K733" s="12"/>
      <c r="N733" s="12"/>
    </row>
    <row r="734" spans="9:14" x14ac:dyDescent="0.2">
      <c r="I734" s="12"/>
      <c r="J734" s="12"/>
      <c r="K734" s="12"/>
      <c r="N734" s="12"/>
    </row>
    <row r="735" spans="9:14" x14ac:dyDescent="0.2">
      <c r="I735" s="12"/>
      <c r="J735" s="12"/>
      <c r="K735" s="12"/>
      <c r="N735" s="12"/>
    </row>
    <row r="736" spans="9:14" x14ac:dyDescent="0.2">
      <c r="I736" s="12"/>
      <c r="J736" s="12"/>
      <c r="K736" s="12"/>
      <c r="N736" s="12"/>
    </row>
    <row r="737" spans="9:14" x14ac:dyDescent="0.2">
      <c r="I737" s="12"/>
      <c r="J737" s="12"/>
      <c r="K737" s="12"/>
      <c r="N737" s="12"/>
    </row>
    <row r="738" spans="9:14" x14ac:dyDescent="0.2">
      <c r="I738" s="12"/>
      <c r="J738" s="12"/>
      <c r="K738" s="12"/>
      <c r="N738" s="12"/>
    </row>
    <row r="739" spans="9:14" x14ac:dyDescent="0.2">
      <c r="I739" s="12"/>
      <c r="J739" s="12"/>
      <c r="K739" s="12"/>
      <c r="N739" s="12"/>
    </row>
    <row r="740" spans="9:14" x14ac:dyDescent="0.2">
      <c r="I740" s="12"/>
      <c r="J740" s="12"/>
      <c r="K740" s="12"/>
      <c r="N740" s="12"/>
    </row>
    <row r="741" spans="9:14" x14ac:dyDescent="0.2">
      <c r="I741" s="12"/>
      <c r="J741" s="12"/>
      <c r="K741" s="12"/>
      <c r="N741" s="12"/>
    </row>
    <row r="742" spans="9:14" x14ac:dyDescent="0.2">
      <c r="I742" s="12"/>
      <c r="J742" s="12"/>
      <c r="K742" s="12"/>
      <c r="N742" s="12"/>
    </row>
    <row r="743" spans="9:14" x14ac:dyDescent="0.2">
      <c r="I743" s="12"/>
      <c r="J743" s="12"/>
      <c r="K743" s="12"/>
      <c r="N743" s="12"/>
    </row>
    <row r="744" spans="9:14" x14ac:dyDescent="0.2">
      <c r="I744" s="12"/>
      <c r="J744" s="12"/>
      <c r="K744" s="12"/>
      <c r="N744" s="12"/>
    </row>
    <row r="745" spans="9:14" x14ac:dyDescent="0.2">
      <c r="I745" s="12"/>
      <c r="J745" s="12"/>
      <c r="K745" s="12"/>
      <c r="N745" s="12"/>
    </row>
    <row r="746" spans="9:14" x14ac:dyDescent="0.2">
      <c r="I746" s="12"/>
      <c r="J746" s="12"/>
      <c r="K746" s="12"/>
      <c r="N746" s="12"/>
    </row>
    <row r="747" spans="9:14" x14ac:dyDescent="0.2">
      <c r="I747" s="12"/>
      <c r="J747" s="12"/>
      <c r="K747" s="12"/>
      <c r="N747" s="12"/>
    </row>
    <row r="748" spans="9:14" x14ac:dyDescent="0.2">
      <c r="I748" s="12"/>
      <c r="J748" s="12"/>
      <c r="K748" s="12"/>
      <c r="N748" s="12"/>
    </row>
    <row r="749" spans="9:14" x14ac:dyDescent="0.2">
      <c r="I749" s="12"/>
      <c r="J749" s="12"/>
      <c r="K749" s="12"/>
      <c r="N749" s="12"/>
    </row>
    <row r="750" spans="9:14" x14ac:dyDescent="0.2">
      <c r="I750" s="12"/>
      <c r="J750" s="12"/>
      <c r="K750" s="12"/>
      <c r="N750" s="12"/>
    </row>
    <row r="751" spans="9:14" x14ac:dyDescent="0.2">
      <c r="I751" s="12"/>
      <c r="J751" s="12"/>
      <c r="K751" s="12"/>
      <c r="N751" s="12"/>
    </row>
    <row r="752" spans="9:14" x14ac:dyDescent="0.2">
      <c r="I752" s="12"/>
      <c r="J752" s="12"/>
      <c r="K752" s="12"/>
      <c r="N752" s="12"/>
    </row>
    <row r="753" spans="9:14" x14ac:dyDescent="0.2">
      <c r="I753" s="12"/>
      <c r="J753" s="12"/>
      <c r="K753" s="12"/>
      <c r="N753" s="12"/>
    </row>
    <row r="754" spans="9:14" x14ac:dyDescent="0.2">
      <c r="I754" s="12"/>
      <c r="J754" s="12"/>
      <c r="K754" s="12"/>
      <c r="N754" s="12"/>
    </row>
    <row r="755" spans="9:14" x14ac:dyDescent="0.2">
      <c r="I755" s="12"/>
      <c r="J755" s="12"/>
      <c r="K755" s="12"/>
      <c r="N755" s="12"/>
    </row>
    <row r="756" spans="9:14" x14ac:dyDescent="0.2">
      <c r="I756" s="12"/>
      <c r="J756" s="12"/>
      <c r="K756" s="12"/>
      <c r="N756" s="12"/>
    </row>
    <row r="757" spans="9:14" x14ac:dyDescent="0.2">
      <c r="I757" s="12"/>
      <c r="J757" s="12"/>
      <c r="K757" s="12"/>
      <c r="N757" s="12"/>
    </row>
    <row r="758" spans="9:14" x14ac:dyDescent="0.2">
      <c r="I758" s="12"/>
      <c r="J758" s="12"/>
      <c r="K758" s="12"/>
      <c r="N758" s="12"/>
    </row>
    <row r="759" spans="9:14" x14ac:dyDescent="0.2">
      <c r="I759" s="12"/>
      <c r="J759" s="12"/>
      <c r="K759" s="12"/>
      <c r="N759" s="12"/>
    </row>
    <row r="760" spans="9:14" x14ac:dyDescent="0.2">
      <c r="I760" s="12"/>
      <c r="J760" s="12"/>
      <c r="K760" s="12"/>
      <c r="N760" s="12"/>
    </row>
    <row r="761" spans="9:14" x14ac:dyDescent="0.2">
      <c r="I761" s="12"/>
      <c r="J761" s="12"/>
      <c r="K761" s="12"/>
      <c r="N761" s="12"/>
    </row>
    <row r="762" spans="9:14" x14ac:dyDescent="0.2">
      <c r="I762" s="12"/>
      <c r="J762" s="12"/>
      <c r="K762" s="12"/>
      <c r="N762" s="12"/>
    </row>
    <row r="763" spans="9:14" x14ac:dyDescent="0.2">
      <c r="I763" s="12"/>
      <c r="J763" s="12"/>
      <c r="K763" s="12"/>
      <c r="N763" s="12"/>
    </row>
    <row r="764" spans="9:14" x14ac:dyDescent="0.2">
      <c r="I764" s="12"/>
      <c r="J764" s="12"/>
      <c r="K764" s="12"/>
      <c r="N764" s="12"/>
    </row>
    <row r="765" spans="9:14" x14ac:dyDescent="0.2">
      <c r="I765" s="12"/>
      <c r="J765" s="12"/>
      <c r="K765" s="12"/>
      <c r="N765" s="12"/>
    </row>
    <row r="766" spans="9:14" x14ac:dyDescent="0.2">
      <c r="I766" s="12"/>
      <c r="J766" s="12"/>
      <c r="K766" s="12"/>
      <c r="N766" s="12"/>
    </row>
    <row r="767" spans="9:14" x14ac:dyDescent="0.2">
      <c r="I767" s="12"/>
      <c r="J767" s="12"/>
      <c r="K767" s="12"/>
      <c r="N767" s="12"/>
    </row>
    <row r="768" spans="9:14" x14ac:dyDescent="0.2">
      <c r="I768" s="12"/>
      <c r="J768" s="12"/>
      <c r="K768" s="12"/>
      <c r="N768" s="12"/>
    </row>
    <row r="769" spans="9:14" x14ac:dyDescent="0.2">
      <c r="I769" s="12"/>
      <c r="J769" s="12"/>
      <c r="K769" s="12"/>
      <c r="N769" s="12"/>
    </row>
    <row r="770" spans="9:14" x14ac:dyDescent="0.2">
      <c r="I770" s="12"/>
      <c r="J770" s="12"/>
      <c r="K770" s="12"/>
      <c r="N770" s="12"/>
    </row>
    <row r="771" spans="9:14" x14ac:dyDescent="0.2">
      <c r="I771" s="12"/>
      <c r="J771" s="12"/>
      <c r="K771" s="12"/>
      <c r="N771" s="12"/>
    </row>
    <row r="772" spans="9:14" x14ac:dyDescent="0.2">
      <c r="I772" s="12"/>
      <c r="J772" s="12"/>
      <c r="K772" s="12"/>
      <c r="N772" s="12"/>
    </row>
    <row r="773" spans="9:14" x14ac:dyDescent="0.2">
      <c r="I773" s="12"/>
      <c r="J773" s="12"/>
      <c r="K773" s="12"/>
      <c r="N773" s="12"/>
    </row>
    <row r="774" spans="9:14" x14ac:dyDescent="0.2">
      <c r="I774" s="12"/>
      <c r="J774" s="12"/>
      <c r="K774" s="12"/>
      <c r="N774" s="12"/>
    </row>
    <row r="775" spans="9:14" x14ac:dyDescent="0.2">
      <c r="I775" s="12"/>
      <c r="J775" s="12"/>
      <c r="K775" s="12"/>
      <c r="N775" s="12"/>
    </row>
    <row r="776" spans="9:14" x14ac:dyDescent="0.2">
      <c r="I776" s="12"/>
      <c r="J776" s="12"/>
      <c r="K776" s="12"/>
      <c r="N776" s="12"/>
    </row>
    <row r="777" spans="9:14" x14ac:dyDescent="0.2">
      <c r="I777" s="12"/>
      <c r="J777" s="12"/>
      <c r="K777" s="12"/>
      <c r="N777" s="12"/>
    </row>
    <row r="778" spans="9:14" x14ac:dyDescent="0.2">
      <c r="I778" s="12"/>
      <c r="J778" s="12"/>
      <c r="K778" s="12"/>
      <c r="N778" s="12"/>
    </row>
    <row r="779" spans="9:14" x14ac:dyDescent="0.2">
      <c r="I779" s="12"/>
      <c r="J779" s="12"/>
      <c r="K779" s="12"/>
      <c r="N779" s="12"/>
    </row>
    <row r="780" spans="9:14" x14ac:dyDescent="0.2">
      <c r="I780" s="12"/>
      <c r="J780" s="12"/>
      <c r="K780" s="12"/>
      <c r="N780" s="12"/>
    </row>
    <row r="781" spans="9:14" x14ac:dyDescent="0.2">
      <c r="I781" s="12"/>
      <c r="J781" s="12"/>
      <c r="K781" s="12"/>
      <c r="N781" s="12"/>
    </row>
    <row r="782" spans="9:14" x14ac:dyDescent="0.2">
      <c r="I782" s="12"/>
      <c r="J782" s="12"/>
      <c r="K782" s="12"/>
      <c r="N782" s="12"/>
    </row>
    <row r="783" spans="9:14" x14ac:dyDescent="0.2">
      <c r="I783" s="12"/>
      <c r="J783" s="12"/>
      <c r="K783" s="12"/>
      <c r="N783" s="12"/>
    </row>
    <row r="784" spans="9:14" x14ac:dyDescent="0.2">
      <c r="I784" s="12"/>
      <c r="J784" s="12"/>
      <c r="K784" s="12"/>
      <c r="N784" s="12"/>
    </row>
    <row r="785" spans="9:14" x14ac:dyDescent="0.2">
      <c r="I785" s="12"/>
      <c r="J785" s="12"/>
      <c r="K785" s="12"/>
      <c r="N785" s="12"/>
    </row>
    <row r="786" spans="9:14" x14ac:dyDescent="0.2">
      <c r="I786" s="12"/>
      <c r="J786" s="12"/>
      <c r="K786" s="12"/>
      <c r="N786" s="12"/>
    </row>
    <row r="787" spans="9:14" x14ac:dyDescent="0.2">
      <c r="I787" s="12"/>
      <c r="J787" s="12"/>
      <c r="K787" s="12"/>
      <c r="N787" s="12"/>
    </row>
    <row r="788" spans="9:14" x14ac:dyDescent="0.2">
      <c r="I788" s="12"/>
      <c r="J788" s="12"/>
      <c r="K788" s="12"/>
      <c r="N788" s="12"/>
    </row>
    <row r="789" spans="9:14" x14ac:dyDescent="0.2">
      <c r="I789" s="12"/>
      <c r="J789" s="12"/>
      <c r="K789" s="12"/>
      <c r="N789" s="12"/>
    </row>
    <row r="790" spans="9:14" x14ac:dyDescent="0.2">
      <c r="I790" s="12"/>
      <c r="J790" s="12"/>
      <c r="K790" s="12"/>
      <c r="N790" s="12"/>
    </row>
    <row r="791" spans="9:14" x14ac:dyDescent="0.2">
      <c r="I791" s="12"/>
      <c r="J791" s="12"/>
      <c r="K791" s="12"/>
      <c r="N791" s="12"/>
    </row>
    <row r="792" spans="9:14" x14ac:dyDescent="0.2">
      <c r="I792" s="12"/>
      <c r="J792" s="12"/>
      <c r="K792" s="12"/>
      <c r="N792" s="12"/>
    </row>
    <row r="793" spans="9:14" x14ac:dyDescent="0.2">
      <c r="I793" s="12"/>
      <c r="J793" s="12"/>
      <c r="K793" s="12"/>
      <c r="N793" s="12"/>
    </row>
    <row r="794" spans="9:14" x14ac:dyDescent="0.2">
      <c r="I794" s="12"/>
      <c r="J794" s="12"/>
      <c r="K794" s="12"/>
      <c r="N794" s="12"/>
    </row>
    <row r="795" spans="9:14" x14ac:dyDescent="0.2">
      <c r="I795" s="12"/>
      <c r="J795" s="12"/>
      <c r="K795" s="12"/>
      <c r="N795" s="12"/>
    </row>
    <row r="796" spans="9:14" x14ac:dyDescent="0.2">
      <c r="I796" s="12"/>
      <c r="J796" s="12"/>
      <c r="K796" s="12"/>
      <c r="N796" s="12"/>
    </row>
    <row r="797" spans="9:14" x14ac:dyDescent="0.2">
      <c r="I797" s="12"/>
      <c r="J797" s="12"/>
      <c r="K797" s="12"/>
      <c r="N797" s="12"/>
    </row>
    <row r="798" spans="9:14" x14ac:dyDescent="0.2">
      <c r="I798" s="12"/>
      <c r="J798" s="12"/>
      <c r="K798" s="12"/>
      <c r="N798" s="12"/>
    </row>
    <row r="799" spans="9:14" x14ac:dyDescent="0.2">
      <c r="I799" s="12"/>
      <c r="J799" s="12"/>
      <c r="K799" s="12"/>
      <c r="N799" s="12"/>
    </row>
    <row r="800" spans="9:14" x14ac:dyDescent="0.2">
      <c r="I800" s="12"/>
      <c r="J800" s="12"/>
      <c r="K800" s="12"/>
      <c r="N800" s="12"/>
    </row>
    <row r="801" spans="9:14" x14ac:dyDescent="0.2">
      <c r="I801" s="12"/>
      <c r="J801" s="12"/>
      <c r="K801" s="12"/>
      <c r="N801" s="12"/>
    </row>
    <row r="802" spans="9:14" x14ac:dyDescent="0.2">
      <c r="I802" s="12"/>
      <c r="J802" s="12"/>
      <c r="K802" s="12"/>
      <c r="N802" s="12"/>
    </row>
    <row r="803" spans="9:14" x14ac:dyDescent="0.2">
      <c r="I803" s="12"/>
      <c r="J803" s="12"/>
      <c r="K803" s="12"/>
      <c r="N803" s="12"/>
    </row>
    <row r="804" spans="9:14" x14ac:dyDescent="0.2">
      <c r="I804" s="12"/>
      <c r="J804" s="12"/>
      <c r="K804" s="12"/>
      <c r="N804" s="12"/>
    </row>
    <row r="805" spans="9:14" x14ac:dyDescent="0.2">
      <c r="I805" s="12"/>
      <c r="J805" s="12"/>
      <c r="K805" s="12"/>
      <c r="N805" s="12"/>
    </row>
    <row r="806" spans="9:14" x14ac:dyDescent="0.2">
      <c r="I806" s="12"/>
      <c r="J806" s="12"/>
      <c r="K806" s="12"/>
      <c r="N806" s="12"/>
    </row>
    <row r="807" spans="9:14" x14ac:dyDescent="0.2">
      <c r="I807" s="12"/>
      <c r="J807" s="12"/>
      <c r="K807" s="12"/>
      <c r="N807" s="12"/>
    </row>
    <row r="808" spans="9:14" x14ac:dyDescent="0.2">
      <c r="I808" s="12"/>
      <c r="J808" s="12"/>
      <c r="K808" s="12"/>
      <c r="N808" s="12"/>
    </row>
    <row r="809" spans="9:14" x14ac:dyDescent="0.2">
      <c r="I809" s="12"/>
      <c r="J809" s="12"/>
      <c r="K809" s="12"/>
      <c r="N809" s="12"/>
    </row>
    <row r="810" spans="9:14" x14ac:dyDescent="0.2">
      <c r="I810" s="12"/>
      <c r="J810" s="12"/>
      <c r="K810" s="12"/>
      <c r="N810" s="12"/>
    </row>
    <row r="811" spans="9:14" x14ac:dyDescent="0.2">
      <c r="I811" s="12"/>
      <c r="J811" s="12"/>
      <c r="K811" s="12"/>
      <c r="N811" s="12"/>
    </row>
    <row r="812" spans="9:14" x14ac:dyDescent="0.2">
      <c r="I812" s="12"/>
      <c r="J812" s="12"/>
      <c r="K812" s="12"/>
      <c r="N812" s="12"/>
    </row>
    <row r="813" spans="9:14" x14ac:dyDescent="0.2">
      <c r="I813" s="12"/>
      <c r="J813" s="12"/>
      <c r="K813" s="12"/>
      <c r="N813" s="12"/>
    </row>
    <row r="814" spans="9:14" x14ac:dyDescent="0.2">
      <c r="I814" s="12"/>
      <c r="J814" s="12"/>
      <c r="K814" s="12"/>
      <c r="N814" s="12"/>
    </row>
    <row r="815" spans="9:14" x14ac:dyDescent="0.2">
      <c r="I815" s="12"/>
      <c r="J815" s="12"/>
      <c r="K815" s="12"/>
      <c r="N815" s="12"/>
    </row>
    <row r="816" spans="9:14" x14ac:dyDescent="0.2">
      <c r="I816" s="12"/>
      <c r="J816" s="12"/>
      <c r="K816" s="12"/>
      <c r="N816" s="12"/>
    </row>
    <row r="817" spans="9:14" x14ac:dyDescent="0.2">
      <c r="I817" s="12"/>
      <c r="J817" s="12"/>
      <c r="K817" s="12"/>
      <c r="N817" s="12"/>
    </row>
    <row r="818" spans="9:14" x14ac:dyDescent="0.2">
      <c r="I818" s="12"/>
      <c r="J818" s="12"/>
      <c r="K818" s="12"/>
      <c r="N818" s="12"/>
    </row>
    <row r="819" spans="9:14" x14ac:dyDescent="0.2">
      <c r="I819" s="12"/>
      <c r="J819" s="12"/>
      <c r="K819" s="12"/>
      <c r="N819" s="12"/>
    </row>
    <row r="820" spans="9:14" x14ac:dyDescent="0.2">
      <c r="I820" s="12"/>
      <c r="J820" s="12"/>
      <c r="K820" s="12"/>
      <c r="N820" s="12"/>
    </row>
    <row r="821" spans="9:14" x14ac:dyDescent="0.2">
      <c r="I821" s="12"/>
      <c r="J821" s="12"/>
      <c r="K821" s="12"/>
      <c r="N821" s="12"/>
    </row>
    <row r="822" spans="9:14" x14ac:dyDescent="0.2">
      <c r="I822" s="12"/>
      <c r="J822" s="12"/>
      <c r="K822" s="12"/>
      <c r="N822" s="12"/>
    </row>
    <row r="823" spans="9:14" x14ac:dyDescent="0.2">
      <c r="I823" s="12"/>
      <c r="J823" s="12"/>
      <c r="K823" s="12"/>
      <c r="N823" s="12"/>
    </row>
    <row r="824" spans="9:14" x14ac:dyDescent="0.2">
      <c r="I824" s="12"/>
      <c r="J824" s="12"/>
      <c r="K824" s="12"/>
      <c r="N824" s="12"/>
    </row>
    <row r="825" spans="9:14" x14ac:dyDescent="0.2">
      <c r="I825" s="12"/>
      <c r="J825" s="12"/>
      <c r="K825" s="12"/>
      <c r="N825" s="12"/>
    </row>
    <row r="826" spans="9:14" x14ac:dyDescent="0.2">
      <c r="I826" s="12"/>
      <c r="J826" s="12"/>
      <c r="K826" s="12"/>
      <c r="N826" s="12"/>
    </row>
    <row r="827" spans="9:14" x14ac:dyDescent="0.2">
      <c r="I827" s="12"/>
      <c r="J827" s="12"/>
      <c r="K827" s="12"/>
      <c r="N827" s="12"/>
    </row>
    <row r="828" spans="9:14" x14ac:dyDescent="0.2">
      <c r="I828" s="12"/>
      <c r="J828" s="12"/>
      <c r="K828" s="12"/>
      <c r="N828" s="12"/>
    </row>
    <row r="829" spans="9:14" x14ac:dyDescent="0.2">
      <c r="I829" s="12"/>
      <c r="J829" s="12"/>
      <c r="K829" s="12"/>
      <c r="N829" s="12"/>
    </row>
    <row r="830" spans="9:14" x14ac:dyDescent="0.2">
      <c r="I830" s="12"/>
      <c r="J830" s="12"/>
      <c r="K830" s="12"/>
      <c r="N830" s="12"/>
    </row>
    <row r="831" spans="9:14" x14ac:dyDescent="0.2">
      <c r="I831" s="12"/>
      <c r="J831" s="12"/>
      <c r="K831" s="12"/>
      <c r="N831" s="12"/>
    </row>
    <row r="832" spans="9:14" x14ac:dyDescent="0.2">
      <c r="I832" s="12"/>
      <c r="J832" s="12"/>
      <c r="K832" s="12"/>
      <c r="N832" s="12"/>
    </row>
    <row r="833" spans="9:14" x14ac:dyDescent="0.2">
      <c r="I833" s="12"/>
      <c r="J833" s="12"/>
      <c r="K833" s="12"/>
      <c r="N833" s="12"/>
    </row>
    <row r="834" spans="9:14" x14ac:dyDescent="0.2">
      <c r="I834" s="12"/>
      <c r="J834" s="12"/>
      <c r="K834" s="12"/>
      <c r="N834" s="12"/>
    </row>
    <row r="835" spans="9:14" x14ac:dyDescent="0.2">
      <c r="I835" s="12"/>
      <c r="J835" s="12"/>
      <c r="K835" s="12"/>
      <c r="N835" s="12"/>
    </row>
    <row r="836" spans="9:14" x14ac:dyDescent="0.2">
      <c r="I836" s="12"/>
      <c r="J836" s="12"/>
      <c r="K836" s="12"/>
      <c r="N836" s="12"/>
    </row>
    <row r="837" spans="9:14" x14ac:dyDescent="0.2">
      <c r="I837" s="12"/>
      <c r="J837" s="12"/>
      <c r="K837" s="12"/>
      <c r="N837" s="12"/>
    </row>
    <row r="838" spans="9:14" x14ac:dyDescent="0.2">
      <c r="I838" s="12"/>
      <c r="J838" s="12"/>
      <c r="K838" s="12"/>
      <c r="N838" s="12"/>
    </row>
    <row r="839" spans="9:14" x14ac:dyDescent="0.2">
      <c r="I839" s="12"/>
      <c r="J839" s="12"/>
      <c r="K839" s="12"/>
      <c r="N839" s="12"/>
    </row>
    <row r="840" spans="9:14" x14ac:dyDescent="0.2">
      <c r="I840" s="12"/>
      <c r="J840" s="12"/>
      <c r="K840" s="12"/>
      <c r="N840" s="12"/>
    </row>
    <row r="841" spans="9:14" x14ac:dyDescent="0.2">
      <c r="I841" s="12"/>
      <c r="J841" s="12"/>
      <c r="K841" s="12"/>
      <c r="N841" s="12"/>
    </row>
    <row r="842" spans="9:14" x14ac:dyDescent="0.2">
      <c r="I842" s="12"/>
      <c r="J842" s="12"/>
      <c r="K842" s="12"/>
      <c r="N842" s="12"/>
    </row>
    <row r="843" spans="9:14" x14ac:dyDescent="0.2">
      <c r="I843" s="12"/>
      <c r="J843" s="12"/>
      <c r="K843" s="12"/>
      <c r="N843" s="12"/>
    </row>
    <row r="844" spans="9:14" x14ac:dyDescent="0.2">
      <c r="I844" s="12"/>
      <c r="J844" s="12"/>
      <c r="K844" s="12"/>
      <c r="N844" s="12"/>
    </row>
    <row r="845" spans="9:14" x14ac:dyDescent="0.2">
      <c r="I845" s="12"/>
      <c r="J845" s="12"/>
      <c r="K845" s="12"/>
      <c r="N845" s="12"/>
    </row>
    <row r="846" spans="9:14" x14ac:dyDescent="0.2">
      <c r="I846" s="12"/>
      <c r="J846" s="12"/>
      <c r="K846" s="12"/>
      <c r="N846" s="12"/>
    </row>
    <row r="847" spans="9:14" x14ac:dyDescent="0.2">
      <c r="I847" s="12"/>
      <c r="J847" s="12"/>
      <c r="K847" s="12"/>
      <c r="N847" s="12"/>
    </row>
    <row r="848" spans="9:14" x14ac:dyDescent="0.2">
      <c r="I848" s="12"/>
      <c r="J848" s="12"/>
      <c r="K848" s="12"/>
      <c r="N848" s="12"/>
    </row>
    <row r="849" spans="9:14" x14ac:dyDescent="0.2">
      <c r="I849" s="12"/>
      <c r="J849" s="12"/>
      <c r="K849" s="12"/>
      <c r="N849" s="12"/>
    </row>
    <row r="850" spans="9:14" x14ac:dyDescent="0.2">
      <c r="I850" s="12"/>
      <c r="J850" s="12"/>
      <c r="K850" s="12"/>
      <c r="N850" s="12"/>
    </row>
    <row r="851" spans="9:14" x14ac:dyDescent="0.2">
      <c r="I851" s="12"/>
      <c r="J851" s="12"/>
      <c r="K851" s="12"/>
      <c r="N851" s="12"/>
    </row>
    <row r="852" spans="9:14" x14ac:dyDescent="0.2">
      <c r="I852" s="12"/>
      <c r="J852" s="12"/>
      <c r="K852" s="12"/>
      <c r="N852" s="12"/>
    </row>
    <row r="853" spans="9:14" x14ac:dyDescent="0.2">
      <c r="I853" s="12"/>
      <c r="J853" s="12"/>
      <c r="K853" s="12"/>
      <c r="N853" s="12"/>
    </row>
    <row r="854" spans="9:14" x14ac:dyDescent="0.2">
      <c r="I854" s="12"/>
      <c r="J854" s="12"/>
      <c r="K854" s="12"/>
      <c r="N854" s="12"/>
    </row>
    <row r="855" spans="9:14" x14ac:dyDescent="0.2">
      <c r="I855" s="12"/>
      <c r="J855" s="12"/>
      <c r="K855" s="12"/>
      <c r="N855" s="12"/>
    </row>
    <row r="856" spans="9:14" x14ac:dyDescent="0.2">
      <c r="I856" s="12"/>
      <c r="J856" s="12"/>
      <c r="K856" s="12"/>
      <c r="N856" s="12"/>
    </row>
    <row r="857" spans="9:14" x14ac:dyDescent="0.2">
      <c r="I857" s="12"/>
      <c r="J857" s="12"/>
      <c r="K857" s="12"/>
      <c r="N857" s="12"/>
    </row>
    <row r="858" spans="9:14" x14ac:dyDescent="0.2">
      <c r="I858" s="12"/>
      <c r="J858" s="12"/>
      <c r="K858" s="12"/>
      <c r="N858" s="12"/>
    </row>
    <row r="859" spans="9:14" x14ac:dyDescent="0.2">
      <c r="I859" s="12"/>
      <c r="J859" s="12"/>
      <c r="K859" s="12"/>
      <c r="N859" s="12"/>
    </row>
    <row r="860" spans="9:14" x14ac:dyDescent="0.2">
      <c r="I860" s="12"/>
      <c r="J860" s="12"/>
      <c r="K860" s="12"/>
      <c r="N860" s="12"/>
    </row>
    <row r="861" spans="9:14" x14ac:dyDescent="0.2">
      <c r="I861" s="12"/>
      <c r="J861" s="12"/>
      <c r="K861" s="12"/>
      <c r="N861" s="12"/>
    </row>
    <row r="862" spans="9:14" x14ac:dyDescent="0.2">
      <c r="I862" s="12"/>
      <c r="J862" s="12"/>
      <c r="K862" s="12"/>
      <c r="N862" s="12"/>
    </row>
    <row r="863" spans="9:14" x14ac:dyDescent="0.2">
      <c r="I863" s="12"/>
      <c r="J863" s="12"/>
      <c r="K863" s="12"/>
      <c r="N863" s="12"/>
    </row>
    <row r="864" spans="9:14" x14ac:dyDescent="0.2">
      <c r="I864" s="12"/>
      <c r="J864" s="12"/>
      <c r="K864" s="12"/>
      <c r="N864" s="12"/>
    </row>
    <row r="865" spans="9:14" x14ac:dyDescent="0.2">
      <c r="I865" s="12"/>
      <c r="J865" s="12"/>
      <c r="K865" s="12"/>
      <c r="N865" s="12"/>
    </row>
    <row r="866" spans="9:14" x14ac:dyDescent="0.2">
      <c r="I866" s="12"/>
      <c r="J866" s="12"/>
      <c r="K866" s="12"/>
      <c r="N866" s="12"/>
    </row>
    <row r="867" spans="9:14" x14ac:dyDescent="0.2">
      <c r="I867" s="12"/>
      <c r="J867" s="12"/>
      <c r="K867" s="12"/>
      <c r="N867" s="12"/>
    </row>
    <row r="868" spans="9:14" x14ac:dyDescent="0.2">
      <c r="I868" s="12"/>
      <c r="J868" s="12"/>
      <c r="K868" s="12"/>
      <c r="N868" s="12"/>
    </row>
    <row r="869" spans="9:14" x14ac:dyDescent="0.2">
      <c r="I869" s="12"/>
      <c r="J869" s="12"/>
      <c r="K869" s="12"/>
      <c r="N869" s="12"/>
    </row>
    <row r="870" spans="9:14" x14ac:dyDescent="0.2">
      <c r="I870" s="12"/>
      <c r="J870" s="12"/>
      <c r="K870" s="12"/>
      <c r="N870" s="12"/>
    </row>
    <row r="871" spans="9:14" x14ac:dyDescent="0.2">
      <c r="I871" s="12"/>
      <c r="J871" s="12"/>
      <c r="K871" s="12"/>
      <c r="N871" s="12"/>
    </row>
    <row r="872" spans="9:14" x14ac:dyDescent="0.2">
      <c r="I872" s="12"/>
      <c r="J872" s="12"/>
      <c r="K872" s="12"/>
      <c r="N872" s="12"/>
    </row>
    <row r="873" spans="9:14" x14ac:dyDescent="0.2">
      <c r="I873" s="12"/>
      <c r="J873" s="12"/>
      <c r="K873" s="12"/>
      <c r="N873" s="12"/>
    </row>
    <row r="874" spans="9:14" x14ac:dyDescent="0.2">
      <c r="I874" s="12"/>
      <c r="J874" s="12"/>
      <c r="K874" s="12"/>
      <c r="N874" s="12"/>
    </row>
    <row r="875" spans="9:14" x14ac:dyDescent="0.2">
      <c r="I875" s="12"/>
      <c r="J875" s="12"/>
      <c r="K875" s="12"/>
      <c r="N875" s="12"/>
    </row>
    <row r="876" spans="9:14" x14ac:dyDescent="0.2">
      <c r="I876" s="12"/>
      <c r="J876" s="12"/>
      <c r="K876" s="12"/>
      <c r="N876" s="12"/>
    </row>
    <row r="877" spans="9:14" x14ac:dyDescent="0.2">
      <c r="I877" s="12"/>
      <c r="J877" s="12"/>
      <c r="K877" s="12"/>
      <c r="N877" s="12"/>
    </row>
    <row r="878" spans="9:14" x14ac:dyDescent="0.2">
      <c r="I878" s="12"/>
      <c r="J878" s="12"/>
      <c r="K878" s="12"/>
      <c r="N878" s="12"/>
    </row>
    <row r="879" spans="9:14" x14ac:dyDescent="0.2">
      <c r="I879" s="12"/>
      <c r="J879" s="12"/>
      <c r="K879" s="12"/>
      <c r="N879" s="12"/>
    </row>
    <row r="880" spans="9:14" x14ac:dyDescent="0.2">
      <c r="I880" s="12"/>
      <c r="J880" s="12"/>
      <c r="K880" s="12"/>
      <c r="N880" s="12"/>
    </row>
    <row r="881" spans="9:14" x14ac:dyDescent="0.2">
      <c r="I881" s="12"/>
      <c r="J881" s="12"/>
      <c r="K881" s="12"/>
      <c r="N881" s="12"/>
    </row>
    <row r="882" spans="9:14" x14ac:dyDescent="0.2">
      <c r="I882" s="12"/>
      <c r="J882" s="12"/>
      <c r="K882" s="12"/>
      <c r="N882" s="12"/>
    </row>
    <row r="883" spans="9:14" x14ac:dyDescent="0.2">
      <c r="I883" s="12"/>
      <c r="J883" s="12"/>
      <c r="K883" s="12"/>
      <c r="N883" s="12"/>
    </row>
    <row r="884" spans="9:14" x14ac:dyDescent="0.2">
      <c r="I884" s="12"/>
      <c r="J884" s="12"/>
      <c r="K884" s="12"/>
      <c r="N884" s="12"/>
    </row>
    <row r="885" spans="9:14" x14ac:dyDescent="0.2">
      <c r="I885" s="12"/>
      <c r="J885" s="12"/>
      <c r="K885" s="12"/>
      <c r="N885" s="12"/>
    </row>
    <row r="886" spans="9:14" x14ac:dyDescent="0.2">
      <c r="I886" s="12"/>
      <c r="J886" s="12"/>
      <c r="K886" s="12"/>
      <c r="N886" s="12"/>
    </row>
    <row r="887" spans="9:14" x14ac:dyDescent="0.2">
      <c r="I887" s="12"/>
      <c r="J887" s="12"/>
      <c r="K887" s="12"/>
      <c r="N887" s="12"/>
    </row>
    <row r="888" spans="9:14" x14ac:dyDescent="0.2">
      <c r="I888" s="12"/>
      <c r="J888" s="12"/>
      <c r="K888" s="12"/>
      <c r="N888" s="12"/>
    </row>
    <row r="889" spans="9:14" x14ac:dyDescent="0.2">
      <c r="I889" s="12"/>
      <c r="J889" s="12"/>
      <c r="K889" s="12"/>
      <c r="N889" s="12"/>
    </row>
    <row r="890" spans="9:14" x14ac:dyDescent="0.2">
      <c r="I890" s="12"/>
      <c r="J890" s="12"/>
      <c r="K890" s="12"/>
      <c r="N890" s="12"/>
    </row>
    <row r="891" spans="9:14" x14ac:dyDescent="0.2">
      <c r="I891" s="12"/>
      <c r="J891" s="12"/>
      <c r="K891" s="12"/>
      <c r="N891" s="12"/>
    </row>
    <row r="892" spans="9:14" x14ac:dyDescent="0.2">
      <c r="I892" s="12"/>
      <c r="J892" s="12"/>
      <c r="K892" s="12"/>
      <c r="N892" s="12"/>
    </row>
    <row r="893" spans="9:14" x14ac:dyDescent="0.2">
      <c r="I893" s="12"/>
      <c r="J893" s="12"/>
      <c r="K893" s="12"/>
      <c r="N893" s="12"/>
    </row>
    <row r="894" spans="9:14" x14ac:dyDescent="0.2">
      <c r="I894" s="12"/>
      <c r="J894" s="12"/>
      <c r="K894" s="12"/>
      <c r="N894" s="12"/>
    </row>
    <row r="895" spans="9:14" x14ac:dyDescent="0.2">
      <c r="I895" s="12"/>
      <c r="J895" s="12"/>
      <c r="K895" s="12"/>
      <c r="N895" s="12"/>
    </row>
    <row r="896" spans="9:14" x14ac:dyDescent="0.2">
      <c r="I896" s="12"/>
      <c r="J896" s="12"/>
      <c r="K896" s="12"/>
      <c r="N896" s="12"/>
    </row>
    <row r="897" spans="9:14" x14ac:dyDescent="0.2">
      <c r="I897" s="12"/>
      <c r="J897" s="12"/>
      <c r="K897" s="12"/>
      <c r="N897" s="12"/>
    </row>
    <row r="898" spans="9:14" x14ac:dyDescent="0.2">
      <c r="I898" s="12"/>
      <c r="J898" s="12"/>
      <c r="K898" s="12"/>
      <c r="N898" s="12"/>
    </row>
    <row r="899" spans="9:14" x14ac:dyDescent="0.2">
      <c r="I899" s="12"/>
      <c r="J899" s="12"/>
      <c r="K899" s="12"/>
      <c r="N899" s="12"/>
    </row>
    <row r="900" spans="9:14" x14ac:dyDescent="0.2">
      <c r="I900" s="12"/>
      <c r="J900" s="12"/>
      <c r="K900" s="12"/>
      <c r="N900" s="12"/>
    </row>
    <row r="901" spans="9:14" x14ac:dyDescent="0.2">
      <c r="I901" s="12"/>
      <c r="J901" s="12"/>
      <c r="K901" s="12"/>
      <c r="N901" s="12"/>
    </row>
    <row r="902" spans="9:14" x14ac:dyDescent="0.2">
      <c r="I902" s="12"/>
      <c r="J902" s="12"/>
      <c r="K902" s="12"/>
      <c r="N902" s="12"/>
    </row>
    <row r="903" spans="9:14" x14ac:dyDescent="0.2">
      <c r="I903" s="12"/>
      <c r="J903" s="12"/>
      <c r="K903" s="12"/>
      <c r="N903" s="12"/>
    </row>
    <row r="904" spans="9:14" x14ac:dyDescent="0.2">
      <c r="I904" s="12"/>
      <c r="J904" s="12"/>
      <c r="K904" s="12"/>
      <c r="N904" s="12"/>
    </row>
    <row r="905" spans="9:14" x14ac:dyDescent="0.2">
      <c r="I905" s="12"/>
      <c r="J905" s="12"/>
      <c r="K905" s="12"/>
      <c r="N905" s="12"/>
    </row>
    <row r="906" spans="9:14" x14ac:dyDescent="0.2">
      <c r="I906" s="12"/>
      <c r="J906" s="12"/>
      <c r="K906" s="12"/>
      <c r="N906" s="12"/>
    </row>
    <row r="907" spans="9:14" x14ac:dyDescent="0.2">
      <c r="I907" s="12"/>
      <c r="J907" s="12"/>
      <c r="K907" s="12"/>
      <c r="N907" s="12"/>
    </row>
    <row r="908" spans="9:14" x14ac:dyDescent="0.2">
      <c r="I908" s="12"/>
      <c r="J908" s="12"/>
      <c r="K908" s="12"/>
      <c r="N908" s="12"/>
    </row>
    <row r="909" spans="9:14" x14ac:dyDescent="0.2">
      <c r="I909" s="12"/>
      <c r="J909" s="12"/>
      <c r="K909" s="12"/>
      <c r="N909" s="12"/>
    </row>
    <row r="910" spans="9:14" x14ac:dyDescent="0.2">
      <c r="I910" s="12"/>
      <c r="J910" s="12"/>
      <c r="K910" s="12"/>
      <c r="N910" s="12"/>
    </row>
    <row r="911" spans="9:14" x14ac:dyDescent="0.2">
      <c r="I911" s="12"/>
      <c r="J911" s="12"/>
      <c r="K911" s="12"/>
      <c r="N911" s="12"/>
    </row>
    <row r="912" spans="9:14" x14ac:dyDescent="0.2">
      <c r="I912" s="12"/>
      <c r="J912" s="12"/>
      <c r="K912" s="12"/>
      <c r="N912" s="12"/>
    </row>
    <row r="913" spans="9:14" x14ac:dyDescent="0.2">
      <c r="I913" s="12"/>
      <c r="J913" s="12"/>
      <c r="K913" s="12"/>
      <c r="N913" s="12"/>
    </row>
    <row r="914" spans="9:14" x14ac:dyDescent="0.2">
      <c r="I914" s="12"/>
      <c r="J914" s="12"/>
      <c r="K914" s="12"/>
      <c r="N914" s="12"/>
    </row>
    <row r="915" spans="9:14" x14ac:dyDescent="0.2">
      <c r="I915" s="12"/>
      <c r="J915" s="12"/>
      <c r="K915" s="12"/>
      <c r="N915" s="12"/>
    </row>
    <row r="916" spans="9:14" x14ac:dyDescent="0.2">
      <c r="I916" s="12"/>
      <c r="J916" s="12"/>
      <c r="K916" s="12"/>
      <c r="N916" s="12"/>
    </row>
    <row r="917" spans="9:14" x14ac:dyDescent="0.2">
      <c r="I917" s="12"/>
      <c r="J917" s="12"/>
      <c r="K917" s="12"/>
      <c r="N917" s="12"/>
    </row>
    <row r="918" spans="9:14" x14ac:dyDescent="0.2">
      <c r="I918" s="12"/>
      <c r="J918" s="12"/>
      <c r="K918" s="12"/>
      <c r="N918" s="12"/>
    </row>
    <row r="919" spans="9:14" x14ac:dyDescent="0.2">
      <c r="I919" s="12"/>
      <c r="J919" s="12"/>
      <c r="K919" s="12"/>
      <c r="N919" s="12"/>
    </row>
    <row r="920" spans="9:14" x14ac:dyDescent="0.2">
      <c r="I920" s="12"/>
      <c r="J920" s="12"/>
      <c r="K920" s="12"/>
      <c r="N920" s="12"/>
    </row>
    <row r="921" spans="9:14" x14ac:dyDescent="0.2">
      <c r="I921" s="12"/>
      <c r="J921" s="12"/>
      <c r="K921" s="12"/>
      <c r="N921" s="12"/>
    </row>
    <row r="922" spans="9:14" x14ac:dyDescent="0.2">
      <c r="I922" s="12"/>
      <c r="J922" s="12"/>
      <c r="K922" s="12"/>
      <c r="N922" s="12"/>
    </row>
    <row r="923" spans="9:14" x14ac:dyDescent="0.2">
      <c r="I923" s="12"/>
      <c r="J923" s="12"/>
      <c r="K923" s="12"/>
      <c r="N923" s="12"/>
    </row>
    <row r="924" spans="9:14" x14ac:dyDescent="0.2">
      <c r="I924" s="12"/>
      <c r="J924" s="12"/>
      <c r="K924" s="12"/>
      <c r="N924" s="12"/>
    </row>
    <row r="925" spans="9:14" x14ac:dyDescent="0.2">
      <c r="I925" s="12"/>
      <c r="J925" s="12"/>
      <c r="K925" s="12"/>
      <c r="N925" s="12"/>
    </row>
    <row r="926" spans="9:14" x14ac:dyDescent="0.2">
      <c r="I926" s="12"/>
      <c r="J926" s="12"/>
      <c r="K926" s="12"/>
      <c r="N926" s="12"/>
    </row>
    <row r="927" spans="9:14" x14ac:dyDescent="0.2">
      <c r="I927" s="12"/>
      <c r="J927" s="12"/>
      <c r="K927" s="12"/>
      <c r="N927" s="12"/>
    </row>
    <row r="928" spans="9:14" x14ac:dyDescent="0.2">
      <c r="I928" s="12"/>
      <c r="J928" s="12"/>
      <c r="K928" s="12"/>
      <c r="N928" s="12"/>
    </row>
    <row r="929" spans="9:14" x14ac:dyDescent="0.2">
      <c r="I929" s="12"/>
      <c r="J929" s="12"/>
      <c r="K929" s="12"/>
      <c r="N929" s="12"/>
    </row>
    <row r="930" spans="9:14" x14ac:dyDescent="0.2">
      <c r="I930" s="12"/>
      <c r="J930" s="12"/>
      <c r="K930" s="12"/>
      <c r="N930" s="12"/>
    </row>
    <row r="931" spans="9:14" x14ac:dyDescent="0.2">
      <c r="I931" s="12"/>
      <c r="J931" s="12"/>
      <c r="K931" s="12"/>
      <c r="N931" s="12"/>
    </row>
    <row r="932" spans="9:14" x14ac:dyDescent="0.2">
      <c r="I932" s="12"/>
      <c r="J932" s="12"/>
      <c r="K932" s="12"/>
      <c r="N932" s="12"/>
    </row>
    <row r="933" spans="9:14" x14ac:dyDescent="0.2">
      <c r="I933" s="12"/>
      <c r="J933" s="12"/>
      <c r="K933" s="12"/>
      <c r="N933" s="12"/>
    </row>
    <row r="934" spans="9:14" x14ac:dyDescent="0.2">
      <c r="I934" s="12"/>
      <c r="J934" s="12"/>
      <c r="K934" s="12"/>
      <c r="N934" s="12"/>
    </row>
    <row r="935" spans="9:14" x14ac:dyDescent="0.2">
      <c r="I935" s="12"/>
      <c r="J935" s="12"/>
      <c r="K935" s="12"/>
      <c r="N935" s="12"/>
    </row>
    <row r="936" spans="9:14" x14ac:dyDescent="0.2">
      <c r="I936" s="12"/>
      <c r="J936" s="12"/>
      <c r="K936" s="12"/>
      <c r="N936" s="12"/>
    </row>
    <row r="937" spans="9:14" x14ac:dyDescent="0.2">
      <c r="I937" s="12"/>
      <c r="J937" s="12"/>
      <c r="K937" s="12"/>
      <c r="N937" s="12"/>
    </row>
    <row r="938" spans="9:14" x14ac:dyDescent="0.2">
      <c r="I938" s="12"/>
      <c r="J938" s="12"/>
      <c r="K938" s="12"/>
      <c r="N938" s="12"/>
    </row>
    <row r="939" spans="9:14" x14ac:dyDescent="0.2">
      <c r="I939" s="12"/>
      <c r="J939" s="12"/>
      <c r="K939" s="12"/>
      <c r="N939" s="12"/>
    </row>
    <row r="940" spans="9:14" x14ac:dyDescent="0.2">
      <c r="I940" s="12"/>
      <c r="J940" s="12"/>
      <c r="K940" s="12"/>
      <c r="N940" s="12"/>
    </row>
    <row r="941" spans="9:14" x14ac:dyDescent="0.2">
      <c r="I941" s="12"/>
      <c r="J941" s="12"/>
      <c r="K941" s="12"/>
      <c r="N941" s="12"/>
    </row>
    <row r="942" spans="9:14" x14ac:dyDescent="0.2">
      <c r="I942" s="12"/>
      <c r="J942" s="12"/>
      <c r="K942" s="12"/>
      <c r="N942" s="12"/>
    </row>
    <row r="943" spans="9:14" x14ac:dyDescent="0.2">
      <c r="I943" s="12"/>
      <c r="J943" s="12"/>
      <c r="K943" s="12"/>
      <c r="N943" s="12"/>
    </row>
    <row r="944" spans="9:14" x14ac:dyDescent="0.2">
      <c r="I944" s="12"/>
      <c r="J944" s="12"/>
      <c r="K944" s="12"/>
      <c r="N944" s="12"/>
    </row>
    <row r="945" spans="9:14" x14ac:dyDescent="0.2">
      <c r="I945" s="12"/>
      <c r="J945" s="12"/>
      <c r="K945" s="12"/>
      <c r="N945" s="12"/>
    </row>
    <row r="946" spans="9:14" x14ac:dyDescent="0.2">
      <c r="I946" s="12"/>
      <c r="J946" s="12"/>
      <c r="K946" s="12"/>
      <c r="N946" s="12"/>
    </row>
    <row r="947" spans="9:14" x14ac:dyDescent="0.2">
      <c r="I947" s="12"/>
      <c r="J947" s="12"/>
      <c r="K947" s="12"/>
      <c r="N947" s="12"/>
    </row>
    <row r="948" spans="9:14" x14ac:dyDescent="0.2">
      <c r="I948" s="12"/>
      <c r="J948" s="12"/>
      <c r="K948" s="12"/>
      <c r="N948" s="12"/>
    </row>
    <row r="949" spans="9:14" x14ac:dyDescent="0.2">
      <c r="I949" s="12"/>
      <c r="J949" s="12"/>
      <c r="K949" s="12"/>
      <c r="N949" s="12"/>
    </row>
    <row r="950" spans="9:14" x14ac:dyDescent="0.2">
      <c r="I950" s="12"/>
      <c r="J950" s="12"/>
      <c r="K950" s="12"/>
      <c r="N950" s="12"/>
    </row>
    <row r="951" spans="9:14" x14ac:dyDescent="0.2">
      <c r="I951" s="12"/>
      <c r="J951" s="12"/>
      <c r="K951" s="12"/>
      <c r="N951" s="12"/>
    </row>
    <row r="952" spans="9:14" x14ac:dyDescent="0.2">
      <c r="I952" s="12"/>
      <c r="J952" s="12"/>
      <c r="K952" s="12"/>
      <c r="N952" s="12"/>
    </row>
    <row r="953" spans="9:14" x14ac:dyDescent="0.2">
      <c r="I953" s="12"/>
      <c r="J953" s="12"/>
      <c r="K953" s="12"/>
      <c r="N953" s="12"/>
    </row>
    <row r="954" spans="9:14" x14ac:dyDescent="0.2">
      <c r="I954" s="12"/>
      <c r="J954" s="12"/>
      <c r="K954" s="12"/>
      <c r="N954" s="12"/>
    </row>
    <row r="955" spans="9:14" x14ac:dyDescent="0.2">
      <c r="I955" s="12"/>
      <c r="J955" s="12"/>
      <c r="K955" s="12"/>
      <c r="N955" s="12"/>
    </row>
    <row r="956" spans="9:14" x14ac:dyDescent="0.2">
      <c r="I956" s="12"/>
      <c r="J956" s="12"/>
      <c r="K956" s="12"/>
      <c r="N956" s="12"/>
    </row>
    <row r="957" spans="9:14" x14ac:dyDescent="0.2">
      <c r="I957" s="12"/>
      <c r="J957" s="12"/>
      <c r="K957" s="12"/>
      <c r="N957" s="12"/>
    </row>
    <row r="958" spans="9:14" x14ac:dyDescent="0.2">
      <c r="I958" s="12"/>
      <c r="J958" s="12"/>
      <c r="K958" s="12"/>
      <c r="N958" s="12"/>
    </row>
    <row r="959" spans="9:14" x14ac:dyDescent="0.2">
      <c r="I959" s="12"/>
      <c r="J959" s="12"/>
      <c r="K959" s="12"/>
      <c r="N959" s="12"/>
    </row>
    <row r="960" spans="9:14" x14ac:dyDescent="0.2">
      <c r="I960" s="12"/>
      <c r="J960" s="12"/>
      <c r="K960" s="12"/>
      <c r="N960" s="12"/>
    </row>
    <row r="961" spans="9:14" x14ac:dyDescent="0.2">
      <c r="I961" s="12"/>
      <c r="J961" s="12"/>
      <c r="K961" s="12"/>
      <c r="N961" s="12"/>
    </row>
    <row r="962" spans="9:14" x14ac:dyDescent="0.2">
      <c r="I962" s="12"/>
      <c r="J962" s="12"/>
      <c r="K962" s="12"/>
      <c r="N962" s="12"/>
    </row>
    <row r="963" spans="9:14" x14ac:dyDescent="0.2">
      <c r="I963" s="12"/>
      <c r="J963" s="12"/>
      <c r="K963" s="12"/>
      <c r="N963" s="12"/>
    </row>
    <row r="964" spans="9:14" x14ac:dyDescent="0.2">
      <c r="I964" s="12"/>
      <c r="J964" s="12"/>
      <c r="K964" s="12"/>
      <c r="N964" s="12"/>
    </row>
    <row r="965" spans="9:14" x14ac:dyDescent="0.2">
      <c r="I965" s="12"/>
      <c r="J965" s="12"/>
      <c r="K965" s="12"/>
      <c r="N965" s="12"/>
    </row>
    <row r="966" spans="9:14" x14ac:dyDescent="0.2">
      <c r="I966" s="12"/>
      <c r="J966" s="12"/>
      <c r="K966" s="12"/>
      <c r="N966" s="12"/>
    </row>
    <row r="967" spans="9:14" x14ac:dyDescent="0.2">
      <c r="I967" s="12"/>
      <c r="J967" s="12"/>
      <c r="K967" s="12"/>
      <c r="N967" s="12"/>
    </row>
    <row r="968" spans="9:14" x14ac:dyDescent="0.2">
      <c r="I968" s="12"/>
      <c r="J968" s="12"/>
      <c r="K968" s="12"/>
      <c r="N968" s="12"/>
    </row>
    <row r="969" spans="9:14" x14ac:dyDescent="0.2">
      <c r="I969" s="12"/>
      <c r="J969" s="12"/>
      <c r="K969" s="12"/>
      <c r="N969" s="12"/>
    </row>
    <row r="970" spans="9:14" x14ac:dyDescent="0.2">
      <c r="I970" s="12"/>
      <c r="J970" s="12"/>
      <c r="K970" s="12"/>
      <c r="N970" s="12"/>
    </row>
    <row r="971" spans="9:14" x14ac:dyDescent="0.2">
      <c r="I971" s="12"/>
      <c r="J971" s="12"/>
      <c r="K971" s="12"/>
      <c r="N971" s="12"/>
    </row>
    <row r="972" spans="9:14" x14ac:dyDescent="0.2">
      <c r="I972" s="12"/>
      <c r="J972" s="12"/>
      <c r="K972" s="12"/>
      <c r="N972" s="12"/>
    </row>
    <row r="973" spans="9:14" x14ac:dyDescent="0.2">
      <c r="I973" s="12"/>
      <c r="J973" s="12"/>
      <c r="K973" s="12"/>
      <c r="N973" s="12"/>
    </row>
    <row r="974" spans="9:14" x14ac:dyDescent="0.2">
      <c r="I974" s="12"/>
      <c r="J974" s="12"/>
      <c r="K974" s="12"/>
      <c r="N974" s="12"/>
    </row>
    <row r="975" spans="9:14" x14ac:dyDescent="0.2">
      <c r="I975" s="12"/>
      <c r="J975" s="12"/>
      <c r="K975" s="12"/>
      <c r="N975" s="12"/>
    </row>
    <row r="976" spans="9:14" x14ac:dyDescent="0.2">
      <c r="I976" s="12"/>
      <c r="J976" s="12"/>
      <c r="K976" s="12"/>
      <c r="N976" s="12"/>
    </row>
    <row r="977" spans="9:14" x14ac:dyDescent="0.2">
      <c r="I977" s="12"/>
      <c r="J977" s="12"/>
      <c r="K977" s="12"/>
      <c r="N977" s="12"/>
    </row>
    <row r="978" spans="9:14" x14ac:dyDescent="0.2">
      <c r="I978" s="12"/>
      <c r="J978" s="12"/>
      <c r="K978" s="12"/>
      <c r="N978" s="12"/>
    </row>
    <row r="979" spans="9:14" x14ac:dyDescent="0.2">
      <c r="I979" s="12"/>
      <c r="J979" s="12"/>
      <c r="K979" s="12"/>
      <c r="N979" s="12"/>
    </row>
    <row r="980" spans="9:14" x14ac:dyDescent="0.2">
      <c r="I980" s="12"/>
      <c r="J980" s="12"/>
      <c r="K980" s="12"/>
      <c r="N980" s="12"/>
    </row>
    <row r="981" spans="9:14" x14ac:dyDescent="0.2">
      <c r="I981" s="12"/>
      <c r="J981" s="12"/>
      <c r="K981" s="12"/>
      <c r="N981" s="12"/>
    </row>
    <row r="982" spans="9:14" x14ac:dyDescent="0.2">
      <c r="I982" s="12"/>
      <c r="J982" s="12"/>
      <c r="K982" s="12"/>
      <c r="N982" s="12"/>
    </row>
    <row r="983" spans="9:14" x14ac:dyDescent="0.2">
      <c r="I983" s="12"/>
      <c r="J983" s="12"/>
      <c r="K983" s="12"/>
      <c r="N983" s="12"/>
    </row>
    <row r="984" spans="9:14" x14ac:dyDescent="0.2">
      <c r="I984" s="12"/>
      <c r="J984" s="12"/>
      <c r="K984" s="12"/>
      <c r="N984" s="12"/>
    </row>
    <row r="985" spans="9:14" x14ac:dyDescent="0.2">
      <c r="I985" s="12"/>
      <c r="J985" s="12"/>
      <c r="K985" s="12"/>
      <c r="N985" s="12"/>
    </row>
    <row r="986" spans="9:14" x14ac:dyDescent="0.2">
      <c r="I986" s="12"/>
      <c r="J986" s="12"/>
      <c r="K986" s="12"/>
      <c r="N986" s="12"/>
    </row>
    <row r="987" spans="9:14" x14ac:dyDescent="0.2">
      <c r="I987" s="12"/>
      <c r="J987" s="12"/>
      <c r="K987" s="12"/>
      <c r="N987" s="12"/>
    </row>
    <row r="988" spans="9:14" x14ac:dyDescent="0.2">
      <c r="I988" s="12"/>
      <c r="J988" s="12"/>
      <c r="K988" s="12"/>
      <c r="N988" s="12"/>
    </row>
    <row r="989" spans="9:14" x14ac:dyDescent="0.2">
      <c r="I989" s="12"/>
      <c r="J989" s="12"/>
      <c r="K989" s="12"/>
      <c r="N989" s="12"/>
    </row>
    <row r="990" spans="9:14" x14ac:dyDescent="0.2">
      <c r="I990" s="12"/>
      <c r="J990" s="12"/>
      <c r="K990" s="12"/>
      <c r="N990" s="12"/>
    </row>
    <row r="991" spans="9:14" x14ac:dyDescent="0.2">
      <c r="I991" s="12"/>
      <c r="J991" s="12"/>
      <c r="K991" s="12"/>
      <c r="N991" s="12"/>
    </row>
    <row r="992" spans="9:14" x14ac:dyDescent="0.2">
      <c r="I992" s="12"/>
      <c r="J992" s="12"/>
      <c r="K992" s="12"/>
      <c r="N992" s="12"/>
    </row>
    <row r="993" spans="9:14" x14ac:dyDescent="0.2">
      <c r="I993" s="12"/>
      <c r="J993" s="12"/>
      <c r="K993" s="12"/>
      <c r="N993" s="12"/>
    </row>
    <row r="994" spans="9:14" x14ac:dyDescent="0.2">
      <c r="I994" s="12"/>
      <c r="J994" s="12"/>
      <c r="K994" s="12"/>
      <c r="N994" s="12"/>
    </row>
    <row r="995" spans="9:14" x14ac:dyDescent="0.2">
      <c r="I995" s="12"/>
      <c r="J995" s="12"/>
      <c r="K995" s="12"/>
      <c r="N995" s="12"/>
    </row>
    <row r="996" spans="9:14" x14ac:dyDescent="0.2">
      <c r="I996" s="12"/>
      <c r="J996" s="12"/>
      <c r="K996" s="12"/>
      <c r="N996" s="12"/>
    </row>
    <row r="997" spans="9:14" x14ac:dyDescent="0.2">
      <c r="I997" s="12"/>
      <c r="J997" s="12"/>
      <c r="K997" s="12"/>
      <c r="N997" s="12"/>
    </row>
    <row r="998" spans="9:14" x14ac:dyDescent="0.2">
      <c r="I998" s="12"/>
      <c r="J998" s="12"/>
      <c r="K998" s="12"/>
      <c r="N998" s="12"/>
    </row>
    <row r="999" spans="9:14" x14ac:dyDescent="0.2">
      <c r="I999" s="12"/>
      <c r="J999" s="12"/>
      <c r="K999" s="12"/>
      <c r="N999" s="12"/>
    </row>
    <row r="1000" spans="9:14" x14ac:dyDescent="0.2">
      <c r="I1000" s="12"/>
      <c r="J1000" s="12"/>
      <c r="K1000" s="12"/>
      <c r="N1000" s="12"/>
    </row>
  </sheetData>
  <autoFilter ref="A1:O211" xr:uid="{6BAA8C5C-8E13-3F4B-B05E-C67912F13629}"/>
  <conditionalFormatting sqref="M2:M52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 Data</vt:lpstr>
      <vt:lpstr>Team Data</vt:lpstr>
      <vt:lpstr>Team Summaries</vt:lpstr>
      <vt:lpstr>Summary</vt:lpstr>
      <vt:lpstr>Weekly Ideal Results</vt:lpstr>
      <vt:lpstr>Weekly Actual Results</vt:lpstr>
      <vt:lpstr>Draft 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Kugel</dc:creator>
  <cp:lastModifiedBy>Joshua Kugel</cp:lastModifiedBy>
  <dcterms:created xsi:type="dcterms:W3CDTF">2022-12-02T16:17:19Z</dcterms:created>
  <dcterms:modified xsi:type="dcterms:W3CDTF">2026-10-01T18:28:30Z</dcterms:modified>
</cp:coreProperties>
</file>